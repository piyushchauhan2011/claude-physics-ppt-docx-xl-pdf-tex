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le 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color rgb="001B222D"/>
      <sz val="11"/>
    </font>
    <font>
      <name val="Calibri"/>
      <b val="1"/>
      <color rgb="000B1F3A"/>
      <sz val="11"/>
    </font>
    <font>
      <name val="Calibri"/>
      <b val="1"/>
      <color rgb="00FFFFFF"/>
      <sz val="11"/>
    </font>
    <font>
      <name val="Calibri"/>
      <color rgb="001B222D"/>
      <sz val="10.5"/>
    </font>
    <font>
      <name val="Calibri"/>
      <i val="1"/>
      <color rgb="006B7484"/>
      <sz val="9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E8F84"/>
      </patternFill>
    </fill>
    <fill>
      <patternFill patternType="solid">
        <fgColor rgb="00EAF3F7"/>
      </patternFill>
    </fill>
    <fill>
      <patternFill patternType="solid">
        <fgColor rgb="00EAF7EE"/>
      </patternFill>
    </fill>
    <fill>
      <patternFill patternType="solid">
        <fgColor rgb="00E9EDF3"/>
      </patternFill>
    </fill>
  </fills>
  <borders count="2">
    <border>
      <left/>
      <right/>
      <top/>
      <bottom/>
      <diagonal/>
    </border>
    <border>
      <left style="thin">
        <color rgb="00C7CFDB"/>
      </left>
      <right style="thin">
        <color rgb="00C7CFDB"/>
      </right>
      <top style="thin">
        <color rgb="00C7CFDB"/>
      </top>
      <bottom style="thin">
        <color rgb="00C7CF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Projectile Trajectory (Height vs Distance)</a:t>
            </a:r>
          </a:p>
        </rich>
      </tx>
    </title>
    <plotArea>
      <scatterChart>
        <ser>
          <idx val="0"/>
          <order val="0"/>
          <tx>
            <v>Trajectory (y vs x)</v>
          </tx>
          <spPr>
            <a:ln xmlns:a="http://schemas.openxmlformats.org/drawingml/2006/main" w="22000">
              <a:solidFill>
                <a:srgbClr val="1E8F8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'Projectile Motion'!$B$17:$B$54</f>
            </numRef>
          </xVal>
          <yVal>
            <numRef>
              <f>'Projectile Motion'!$C$17:$C$54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x (m)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 y (m)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15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  <col width="4" customWidth="1" min="7" max="7"/>
    <col width="4" customWidth="1" min="8" max="8"/>
  </cols>
  <sheetData>
    <row r="1" ht="30" customHeight="1">
      <c r="A1" s="1" t="inlineStr">
        <is>
          <t>2D Projectile Motion — Trajectory Simulator</t>
        </is>
      </c>
      <c r="B1" s="2" t="n"/>
      <c r="C1" s="2" t="n"/>
      <c r="D1" s="2" t="n"/>
      <c r="E1" s="2" t="n"/>
    </row>
    <row r="2" ht="20" customHeight="1">
      <c r="A2" s="3" t="inlineStr">
        <is>
          <t>1.  INPUT PARAMETERS</t>
        </is>
      </c>
      <c r="B2" s="4" t="n"/>
    </row>
    <row r="3">
      <c r="A3" s="5" t="inlineStr">
        <is>
          <t>Initial Velocity, v₀ (m/s)</t>
        </is>
      </c>
      <c r="B3" s="6" t="n">
        <v>25</v>
      </c>
    </row>
    <row r="4">
      <c r="A4" s="5" t="inlineStr">
        <is>
          <t>Launch Angle, θ (degrees)</t>
        </is>
      </c>
      <c r="B4" s="7" t="n">
        <v>45</v>
      </c>
    </row>
    <row r="5">
      <c r="A5" s="5" t="inlineStr">
        <is>
          <t>Acceleration due to Gravity, g (m/s²)</t>
        </is>
      </c>
      <c r="B5" s="6" t="n">
        <v>9.81</v>
      </c>
    </row>
    <row r="6">
      <c r="A6" s="5" t="inlineStr">
        <is>
          <t>Time Step, dt (s)</t>
        </is>
      </c>
      <c r="B6" s="6" t="n">
        <v>0.1</v>
      </c>
    </row>
    <row r="8" ht="20" customHeight="1">
      <c r="A8" s="3" t="inlineStr">
        <is>
          <t>2.  ANALYTICAL SUMMARY</t>
        </is>
      </c>
      <c r="B8" s="4" t="n"/>
    </row>
    <row r="9">
      <c r="A9" s="5" t="inlineStr">
        <is>
          <t>Initial Horizontal Velocity, Vx (m/s)</t>
        </is>
      </c>
      <c r="B9" s="8">
        <f>B3*COS(RADIANS(B4))</f>
        <v/>
      </c>
    </row>
    <row r="10">
      <c r="A10" s="5" t="inlineStr">
        <is>
          <t>Initial Vertical Velocity, Vy (m/s)</t>
        </is>
      </c>
      <c r="B10" s="8">
        <f>B3*SIN(RADIANS(B4))</f>
        <v/>
      </c>
    </row>
    <row r="11">
      <c r="A11" s="5" t="inlineStr">
        <is>
          <t>Total Time of Flight, t_total (s)</t>
        </is>
      </c>
      <c r="B11" s="8">
        <f>2*B10/B5</f>
        <v/>
      </c>
    </row>
    <row r="12">
      <c r="A12" s="5" t="inlineStr">
        <is>
          <t>Maximum Height, H_max (m)</t>
        </is>
      </c>
      <c r="B12" s="8">
        <f>B10^2/(2*B5)</f>
        <v/>
      </c>
    </row>
    <row r="13">
      <c r="A13" s="5" t="inlineStr">
        <is>
          <t>Total Range, R_max (m)</t>
        </is>
      </c>
      <c r="B13" s="8">
        <f>B3^2*SIN(RADIANS(2*B4))/B5</f>
        <v/>
      </c>
    </row>
    <row r="15" ht="20" customHeight="1">
      <c r="A15" s="3" t="inlineStr">
        <is>
          <t>3.  TRAJECTORY DATA TABLE</t>
        </is>
      </c>
      <c r="B15" s="4" t="n"/>
      <c r="C15" s="4" t="n"/>
      <c r="D15" s="4" t="n"/>
      <c r="E15" s="4" t="n"/>
    </row>
    <row r="16">
      <c r="A16" s="9" t="inlineStr">
        <is>
          <t>Time t (s)</t>
        </is>
      </c>
      <c r="B16" s="9" t="inlineStr">
        <is>
          <t>Distance x (m)</t>
        </is>
      </c>
      <c r="C16" s="9" t="inlineStr">
        <is>
          <t>Height y (m)</t>
        </is>
      </c>
      <c r="D16" s="9" t="inlineStr">
        <is>
          <t>Vx (m/s)</t>
        </is>
      </c>
      <c r="E16" s="9" t="inlineStr">
        <is>
          <t>Vy (m/s)</t>
        </is>
      </c>
    </row>
    <row r="17">
      <c r="A17" s="10" t="n">
        <v>0</v>
      </c>
      <c r="B17" s="11">
        <f>$B$3*COS(RADIANS($B$4))*A17</f>
        <v/>
      </c>
      <c r="C17" s="11">
        <f>MAX(0,($B$3*SIN(RADIANS($B$4))*A17)-(0.5*$B$5*A17^2))</f>
        <v/>
      </c>
      <c r="D17" s="11">
        <f>$B$9</f>
        <v/>
      </c>
      <c r="E17" s="11">
        <f>$B$10-$B$5*A17</f>
        <v/>
      </c>
    </row>
    <row r="18">
      <c r="A18" s="12">
        <f>A17+$B$6</f>
        <v/>
      </c>
      <c r="B18" s="13">
        <f>$B$3*COS(RADIANS($B$4))*A18</f>
        <v/>
      </c>
      <c r="C18" s="13">
        <f>MAX(0,($B$3*SIN(RADIANS($B$4))*A18)-(0.5*$B$5*A18^2))</f>
        <v/>
      </c>
      <c r="D18" s="13">
        <f>$B$9</f>
        <v/>
      </c>
      <c r="E18" s="13">
        <f>$B$10-$B$5*A18</f>
        <v/>
      </c>
    </row>
    <row r="19">
      <c r="A19" s="10">
        <f>A18+$B$6</f>
        <v/>
      </c>
      <c r="B19" s="11">
        <f>$B$3*COS(RADIANS($B$4))*A19</f>
        <v/>
      </c>
      <c r="C19" s="11">
        <f>MAX(0,($B$3*SIN(RADIANS($B$4))*A19)-(0.5*$B$5*A19^2))</f>
        <v/>
      </c>
      <c r="D19" s="11">
        <f>$B$9</f>
        <v/>
      </c>
      <c r="E19" s="11">
        <f>$B$10-$B$5*A19</f>
        <v/>
      </c>
    </row>
    <row r="20">
      <c r="A20" s="12">
        <f>A19+$B$6</f>
        <v/>
      </c>
      <c r="B20" s="13">
        <f>$B$3*COS(RADIANS($B$4))*A20</f>
        <v/>
      </c>
      <c r="C20" s="13">
        <f>MAX(0,($B$3*SIN(RADIANS($B$4))*A20)-(0.5*$B$5*A20^2))</f>
        <v/>
      </c>
      <c r="D20" s="13">
        <f>$B$9</f>
        <v/>
      </c>
      <c r="E20" s="13">
        <f>$B$10-$B$5*A20</f>
        <v/>
      </c>
    </row>
    <row r="21">
      <c r="A21" s="10">
        <f>A20+$B$6</f>
        <v/>
      </c>
      <c r="B21" s="11">
        <f>$B$3*COS(RADIANS($B$4))*A21</f>
        <v/>
      </c>
      <c r="C21" s="11">
        <f>MAX(0,($B$3*SIN(RADIANS($B$4))*A21)-(0.5*$B$5*A21^2))</f>
        <v/>
      </c>
      <c r="D21" s="11">
        <f>$B$9</f>
        <v/>
      </c>
      <c r="E21" s="11">
        <f>$B$10-$B$5*A21</f>
        <v/>
      </c>
    </row>
    <row r="22">
      <c r="A22" s="12">
        <f>A21+$B$6</f>
        <v/>
      </c>
      <c r="B22" s="13">
        <f>$B$3*COS(RADIANS($B$4))*A22</f>
        <v/>
      </c>
      <c r="C22" s="13">
        <f>MAX(0,($B$3*SIN(RADIANS($B$4))*A22)-(0.5*$B$5*A22^2))</f>
        <v/>
      </c>
      <c r="D22" s="13">
        <f>$B$9</f>
        <v/>
      </c>
      <c r="E22" s="13">
        <f>$B$10-$B$5*A22</f>
        <v/>
      </c>
    </row>
    <row r="23">
      <c r="A23" s="10">
        <f>A22+$B$6</f>
        <v/>
      </c>
      <c r="B23" s="11">
        <f>$B$3*COS(RADIANS($B$4))*A23</f>
        <v/>
      </c>
      <c r="C23" s="11">
        <f>MAX(0,($B$3*SIN(RADIANS($B$4))*A23)-(0.5*$B$5*A23^2))</f>
        <v/>
      </c>
      <c r="D23" s="11">
        <f>$B$9</f>
        <v/>
      </c>
      <c r="E23" s="11">
        <f>$B$10-$B$5*A23</f>
        <v/>
      </c>
    </row>
    <row r="24">
      <c r="A24" s="12">
        <f>A23+$B$6</f>
        <v/>
      </c>
      <c r="B24" s="13">
        <f>$B$3*COS(RADIANS($B$4))*A24</f>
        <v/>
      </c>
      <c r="C24" s="13">
        <f>MAX(0,($B$3*SIN(RADIANS($B$4))*A24)-(0.5*$B$5*A24^2))</f>
        <v/>
      </c>
      <c r="D24" s="13">
        <f>$B$9</f>
        <v/>
      </c>
      <c r="E24" s="13">
        <f>$B$10-$B$5*A24</f>
        <v/>
      </c>
    </row>
    <row r="25">
      <c r="A25" s="10">
        <f>A24+$B$6</f>
        <v/>
      </c>
      <c r="B25" s="11">
        <f>$B$3*COS(RADIANS($B$4))*A25</f>
        <v/>
      </c>
      <c r="C25" s="11">
        <f>MAX(0,($B$3*SIN(RADIANS($B$4))*A25)-(0.5*$B$5*A25^2))</f>
        <v/>
      </c>
      <c r="D25" s="11">
        <f>$B$9</f>
        <v/>
      </c>
      <c r="E25" s="11">
        <f>$B$10-$B$5*A25</f>
        <v/>
      </c>
    </row>
    <row r="26">
      <c r="A26" s="12">
        <f>A25+$B$6</f>
        <v/>
      </c>
      <c r="B26" s="13">
        <f>$B$3*COS(RADIANS($B$4))*A26</f>
        <v/>
      </c>
      <c r="C26" s="13">
        <f>MAX(0,($B$3*SIN(RADIANS($B$4))*A26)-(0.5*$B$5*A26^2))</f>
        <v/>
      </c>
      <c r="D26" s="13">
        <f>$B$9</f>
        <v/>
      </c>
      <c r="E26" s="13">
        <f>$B$10-$B$5*A26</f>
        <v/>
      </c>
    </row>
    <row r="27">
      <c r="A27" s="10">
        <f>A26+$B$6</f>
        <v/>
      </c>
      <c r="B27" s="11">
        <f>$B$3*COS(RADIANS($B$4))*A27</f>
        <v/>
      </c>
      <c r="C27" s="11">
        <f>MAX(0,($B$3*SIN(RADIANS($B$4))*A27)-(0.5*$B$5*A27^2))</f>
        <v/>
      </c>
      <c r="D27" s="11">
        <f>$B$9</f>
        <v/>
      </c>
      <c r="E27" s="11">
        <f>$B$10-$B$5*A27</f>
        <v/>
      </c>
    </row>
    <row r="28">
      <c r="A28" s="12">
        <f>A27+$B$6</f>
        <v/>
      </c>
      <c r="B28" s="13">
        <f>$B$3*COS(RADIANS($B$4))*A28</f>
        <v/>
      </c>
      <c r="C28" s="13">
        <f>MAX(0,($B$3*SIN(RADIANS($B$4))*A28)-(0.5*$B$5*A28^2))</f>
        <v/>
      </c>
      <c r="D28" s="13">
        <f>$B$9</f>
        <v/>
      </c>
      <c r="E28" s="13">
        <f>$B$10-$B$5*A28</f>
        <v/>
      </c>
    </row>
    <row r="29">
      <c r="A29" s="10">
        <f>A28+$B$6</f>
        <v/>
      </c>
      <c r="B29" s="11">
        <f>$B$3*COS(RADIANS($B$4))*A29</f>
        <v/>
      </c>
      <c r="C29" s="11">
        <f>MAX(0,($B$3*SIN(RADIANS($B$4))*A29)-(0.5*$B$5*A29^2))</f>
        <v/>
      </c>
      <c r="D29" s="11">
        <f>$B$9</f>
        <v/>
      </c>
      <c r="E29" s="11">
        <f>$B$10-$B$5*A29</f>
        <v/>
      </c>
    </row>
    <row r="30">
      <c r="A30" s="12">
        <f>A29+$B$6</f>
        <v/>
      </c>
      <c r="B30" s="13">
        <f>$B$3*COS(RADIANS($B$4))*A30</f>
        <v/>
      </c>
      <c r="C30" s="13">
        <f>MAX(0,($B$3*SIN(RADIANS($B$4))*A30)-(0.5*$B$5*A30^2))</f>
        <v/>
      </c>
      <c r="D30" s="13">
        <f>$B$9</f>
        <v/>
      </c>
      <c r="E30" s="13">
        <f>$B$10-$B$5*A30</f>
        <v/>
      </c>
    </row>
    <row r="31">
      <c r="A31" s="10">
        <f>A30+$B$6</f>
        <v/>
      </c>
      <c r="B31" s="11">
        <f>$B$3*COS(RADIANS($B$4))*A31</f>
        <v/>
      </c>
      <c r="C31" s="11">
        <f>MAX(0,($B$3*SIN(RADIANS($B$4))*A31)-(0.5*$B$5*A31^2))</f>
        <v/>
      </c>
      <c r="D31" s="11">
        <f>$B$9</f>
        <v/>
      </c>
      <c r="E31" s="11">
        <f>$B$10-$B$5*A31</f>
        <v/>
      </c>
    </row>
    <row r="32">
      <c r="A32" s="12">
        <f>A31+$B$6</f>
        <v/>
      </c>
      <c r="B32" s="13">
        <f>$B$3*COS(RADIANS($B$4))*A32</f>
        <v/>
      </c>
      <c r="C32" s="13">
        <f>MAX(0,($B$3*SIN(RADIANS($B$4))*A32)-(0.5*$B$5*A32^2))</f>
        <v/>
      </c>
      <c r="D32" s="13">
        <f>$B$9</f>
        <v/>
      </c>
      <c r="E32" s="13">
        <f>$B$10-$B$5*A32</f>
        <v/>
      </c>
    </row>
    <row r="33">
      <c r="A33" s="10">
        <f>A32+$B$6</f>
        <v/>
      </c>
      <c r="B33" s="11">
        <f>$B$3*COS(RADIANS($B$4))*A33</f>
        <v/>
      </c>
      <c r="C33" s="11">
        <f>MAX(0,($B$3*SIN(RADIANS($B$4))*A33)-(0.5*$B$5*A33^2))</f>
        <v/>
      </c>
      <c r="D33" s="11">
        <f>$B$9</f>
        <v/>
      </c>
      <c r="E33" s="11">
        <f>$B$10-$B$5*A33</f>
        <v/>
      </c>
    </row>
    <row r="34">
      <c r="A34" s="12">
        <f>A33+$B$6</f>
        <v/>
      </c>
      <c r="B34" s="13">
        <f>$B$3*COS(RADIANS($B$4))*A34</f>
        <v/>
      </c>
      <c r="C34" s="13">
        <f>MAX(0,($B$3*SIN(RADIANS($B$4))*A34)-(0.5*$B$5*A34^2))</f>
        <v/>
      </c>
      <c r="D34" s="13">
        <f>$B$9</f>
        <v/>
      </c>
      <c r="E34" s="13">
        <f>$B$10-$B$5*A34</f>
        <v/>
      </c>
    </row>
    <row r="35">
      <c r="A35" s="10">
        <f>A34+$B$6</f>
        <v/>
      </c>
      <c r="B35" s="11">
        <f>$B$3*COS(RADIANS($B$4))*A35</f>
        <v/>
      </c>
      <c r="C35" s="11">
        <f>MAX(0,($B$3*SIN(RADIANS($B$4))*A35)-(0.5*$B$5*A35^2))</f>
        <v/>
      </c>
      <c r="D35" s="11">
        <f>$B$9</f>
        <v/>
      </c>
      <c r="E35" s="11">
        <f>$B$10-$B$5*A35</f>
        <v/>
      </c>
    </row>
    <row r="36">
      <c r="A36" s="12">
        <f>A35+$B$6</f>
        <v/>
      </c>
      <c r="B36" s="13">
        <f>$B$3*COS(RADIANS($B$4))*A36</f>
        <v/>
      </c>
      <c r="C36" s="13">
        <f>MAX(0,($B$3*SIN(RADIANS($B$4))*A36)-(0.5*$B$5*A36^2))</f>
        <v/>
      </c>
      <c r="D36" s="13">
        <f>$B$9</f>
        <v/>
      </c>
      <c r="E36" s="13">
        <f>$B$10-$B$5*A36</f>
        <v/>
      </c>
    </row>
    <row r="37">
      <c r="A37" s="10">
        <f>A36+$B$6</f>
        <v/>
      </c>
      <c r="B37" s="11">
        <f>$B$3*COS(RADIANS($B$4))*A37</f>
        <v/>
      </c>
      <c r="C37" s="11">
        <f>MAX(0,($B$3*SIN(RADIANS($B$4))*A37)-(0.5*$B$5*A37^2))</f>
        <v/>
      </c>
      <c r="D37" s="11">
        <f>$B$9</f>
        <v/>
      </c>
      <c r="E37" s="11">
        <f>$B$10-$B$5*A37</f>
        <v/>
      </c>
    </row>
    <row r="38">
      <c r="A38" s="12">
        <f>A37+$B$6</f>
        <v/>
      </c>
      <c r="B38" s="13">
        <f>$B$3*COS(RADIANS($B$4))*A38</f>
        <v/>
      </c>
      <c r="C38" s="13">
        <f>MAX(0,($B$3*SIN(RADIANS($B$4))*A38)-(0.5*$B$5*A38^2))</f>
        <v/>
      </c>
      <c r="D38" s="13">
        <f>$B$9</f>
        <v/>
      </c>
      <c r="E38" s="13">
        <f>$B$10-$B$5*A38</f>
        <v/>
      </c>
    </row>
    <row r="39">
      <c r="A39" s="10">
        <f>A38+$B$6</f>
        <v/>
      </c>
      <c r="B39" s="11">
        <f>$B$3*COS(RADIANS($B$4))*A39</f>
        <v/>
      </c>
      <c r="C39" s="11">
        <f>MAX(0,($B$3*SIN(RADIANS($B$4))*A39)-(0.5*$B$5*A39^2))</f>
        <v/>
      </c>
      <c r="D39" s="11">
        <f>$B$9</f>
        <v/>
      </c>
      <c r="E39" s="11">
        <f>$B$10-$B$5*A39</f>
        <v/>
      </c>
    </row>
    <row r="40">
      <c r="A40" s="12">
        <f>A39+$B$6</f>
        <v/>
      </c>
      <c r="B40" s="13">
        <f>$B$3*COS(RADIANS($B$4))*A40</f>
        <v/>
      </c>
      <c r="C40" s="13">
        <f>MAX(0,($B$3*SIN(RADIANS($B$4))*A40)-(0.5*$B$5*A40^2))</f>
        <v/>
      </c>
      <c r="D40" s="13">
        <f>$B$9</f>
        <v/>
      </c>
      <c r="E40" s="13">
        <f>$B$10-$B$5*A40</f>
        <v/>
      </c>
    </row>
    <row r="41">
      <c r="A41" s="10">
        <f>A40+$B$6</f>
        <v/>
      </c>
      <c r="B41" s="11">
        <f>$B$3*COS(RADIANS($B$4))*A41</f>
        <v/>
      </c>
      <c r="C41" s="11">
        <f>MAX(0,($B$3*SIN(RADIANS($B$4))*A41)-(0.5*$B$5*A41^2))</f>
        <v/>
      </c>
      <c r="D41" s="11">
        <f>$B$9</f>
        <v/>
      </c>
      <c r="E41" s="11">
        <f>$B$10-$B$5*A41</f>
        <v/>
      </c>
    </row>
    <row r="42">
      <c r="A42" s="12">
        <f>A41+$B$6</f>
        <v/>
      </c>
      <c r="B42" s="13">
        <f>$B$3*COS(RADIANS($B$4))*A42</f>
        <v/>
      </c>
      <c r="C42" s="13">
        <f>MAX(0,($B$3*SIN(RADIANS($B$4))*A42)-(0.5*$B$5*A42^2))</f>
        <v/>
      </c>
      <c r="D42" s="13">
        <f>$B$9</f>
        <v/>
      </c>
      <c r="E42" s="13">
        <f>$B$10-$B$5*A42</f>
        <v/>
      </c>
    </row>
    <row r="43">
      <c r="A43" s="10">
        <f>A42+$B$6</f>
        <v/>
      </c>
      <c r="B43" s="11">
        <f>$B$3*COS(RADIANS($B$4))*A43</f>
        <v/>
      </c>
      <c r="C43" s="11">
        <f>MAX(0,($B$3*SIN(RADIANS($B$4))*A43)-(0.5*$B$5*A43^2))</f>
        <v/>
      </c>
      <c r="D43" s="11">
        <f>$B$9</f>
        <v/>
      </c>
      <c r="E43" s="11">
        <f>$B$10-$B$5*A43</f>
        <v/>
      </c>
    </row>
    <row r="44">
      <c r="A44" s="12">
        <f>A43+$B$6</f>
        <v/>
      </c>
      <c r="B44" s="13">
        <f>$B$3*COS(RADIANS($B$4))*A44</f>
        <v/>
      </c>
      <c r="C44" s="13">
        <f>MAX(0,($B$3*SIN(RADIANS($B$4))*A44)-(0.5*$B$5*A44^2))</f>
        <v/>
      </c>
      <c r="D44" s="13">
        <f>$B$9</f>
        <v/>
      </c>
      <c r="E44" s="13">
        <f>$B$10-$B$5*A44</f>
        <v/>
      </c>
    </row>
    <row r="45">
      <c r="A45" s="10">
        <f>A44+$B$6</f>
        <v/>
      </c>
      <c r="B45" s="11">
        <f>$B$3*COS(RADIANS($B$4))*A45</f>
        <v/>
      </c>
      <c r="C45" s="11">
        <f>MAX(0,($B$3*SIN(RADIANS($B$4))*A45)-(0.5*$B$5*A45^2))</f>
        <v/>
      </c>
      <c r="D45" s="11">
        <f>$B$9</f>
        <v/>
      </c>
      <c r="E45" s="11">
        <f>$B$10-$B$5*A45</f>
        <v/>
      </c>
    </row>
    <row r="46">
      <c r="A46" s="12">
        <f>A45+$B$6</f>
        <v/>
      </c>
      <c r="B46" s="13">
        <f>$B$3*COS(RADIANS($B$4))*A46</f>
        <v/>
      </c>
      <c r="C46" s="13">
        <f>MAX(0,($B$3*SIN(RADIANS($B$4))*A46)-(0.5*$B$5*A46^2))</f>
        <v/>
      </c>
      <c r="D46" s="13">
        <f>$B$9</f>
        <v/>
      </c>
      <c r="E46" s="13">
        <f>$B$10-$B$5*A46</f>
        <v/>
      </c>
    </row>
    <row r="47">
      <c r="A47" s="10">
        <f>A46+$B$6</f>
        <v/>
      </c>
      <c r="B47" s="11">
        <f>$B$3*COS(RADIANS($B$4))*A47</f>
        <v/>
      </c>
      <c r="C47" s="11">
        <f>MAX(0,($B$3*SIN(RADIANS($B$4))*A47)-(0.5*$B$5*A47^2))</f>
        <v/>
      </c>
      <c r="D47" s="11">
        <f>$B$9</f>
        <v/>
      </c>
      <c r="E47" s="11">
        <f>$B$10-$B$5*A47</f>
        <v/>
      </c>
    </row>
    <row r="48">
      <c r="A48" s="12">
        <f>A47+$B$6</f>
        <v/>
      </c>
      <c r="B48" s="13">
        <f>$B$3*COS(RADIANS($B$4))*A48</f>
        <v/>
      </c>
      <c r="C48" s="13">
        <f>MAX(0,($B$3*SIN(RADIANS($B$4))*A48)-(0.5*$B$5*A48^2))</f>
        <v/>
      </c>
      <c r="D48" s="13">
        <f>$B$9</f>
        <v/>
      </c>
      <c r="E48" s="13">
        <f>$B$10-$B$5*A48</f>
        <v/>
      </c>
    </row>
    <row r="49">
      <c r="A49" s="10">
        <f>A48+$B$6</f>
        <v/>
      </c>
      <c r="B49" s="11">
        <f>$B$3*COS(RADIANS($B$4))*A49</f>
        <v/>
      </c>
      <c r="C49" s="11">
        <f>MAX(0,($B$3*SIN(RADIANS($B$4))*A49)-(0.5*$B$5*A49^2))</f>
        <v/>
      </c>
      <c r="D49" s="11">
        <f>$B$9</f>
        <v/>
      </c>
      <c r="E49" s="11">
        <f>$B$10-$B$5*A49</f>
        <v/>
      </c>
    </row>
    <row r="50">
      <c r="A50" s="12">
        <f>A49+$B$6</f>
        <v/>
      </c>
      <c r="B50" s="13">
        <f>$B$3*COS(RADIANS($B$4))*A50</f>
        <v/>
      </c>
      <c r="C50" s="13">
        <f>MAX(0,($B$3*SIN(RADIANS($B$4))*A50)-(0.5*$B$5*A50^2))</f>
        <v/>
      </c>
      <c r="D50" s="13">
        <f>$B$9</f>
        <v/>
      </c>
      <c r="E50" s="13">
        <f>$B$10-$B$5*A50</f>
        <v/>
      </c>
    </row>
    <row r="51">
      <c r="A51" s="10">
        <f>A50+$B$6</f>
        <v/>
      </c>
      <c r="B51" s="11">
        <f>$B$3*COS(RADIANS($B$4))*A51</f>
        <v/>
      </c>
      <c r="C51" s="11">
        <f>MAX(0,($B$3*SIN(RADIANS($B$4))*A51)-(0.5*$B$5*A51^2))</f>
        <v/>
      </c>
      <c r="D51" s="11">
        <f>$B$9</f>
        <v/>
      </c>
      <c r="E51" s="11">
        <f>$B$10-$B$5*A51</f>
        <v/>
      </c>
    </row>
    <row r="52">
      <c r="A52" s="12">
        <f>A51+$B$6</f>
        <v/>
      </c>
      <c r="B52" s="13">
        <f>$B$3*COS(RADIANS($B$4))*A52</f>
        <v/>
      </c>
      <c r="C52" s="13">
        <f>MAX(0,($B$3*SIN(RADIANS($B$4))*A52)-(0.5*$B$5*A52^2))</f>
        <v/>
      </c>
      <c r="D52" s="13">
        <f>$B$9</f>
        <v/>
      </c>
      <c r="E52" s="13">
        <f>$B$10-$B$5*A52</f>
        <v/>
      </c>
    </row>
    <row r="53">
      <c r="A53" s="10">
        <f>A52+$B$6</f>
        <v/>
      </c>
      <c r="B53" s="11">
        <f>$B$3*COS(RADIANS($B$4))*A53</f>
        <v/>
      </c>
      <c r="C53" s="11">
        <f>MAX(0,($B$3*SIN(RADIANS($B$4))*A53)-(0.5*$B$5*A53^2))</f>
        <v/>
      </c>
      <c r="D53" s="11">
        <f>$B$9</f>
        <v/>
      </c>
      <c r="E53" s="11">
        <f>$B$10-$B$5*A53</f>
        <v/>
      </c>
    </row>
    <row r="54">
      <c r="A54" s="12">
        <f>$B$11</f>
        <v/>
      </c>
      <c r="B54" s="13">
        <f>$B$3*COS(RADIANS($B$4))*A54</f>
        <v/>
      </c>
      <c r="C54" s="13">
        <f>MAX(0,($B$3*SIN(RADIANS($B$4))*A54)-(0.5*$B$5*A54^2))</f>
        <v/>
      </c>
      <c r="D54" s="13">
        <f>$B$9</f>
        <v/>
      </c>
      <c r="E54" s="13">
        <f>$B$10-$B$5*A54</f>
        <v/>
      </c>
    </row>
    <row r="55" ht="26" customHeight="1">
      <c r="A55" s="14" t="inlineStr">
        <is>
          <t>Note: table rows are sized for the default inputs above; edit v0/theta/g/dt and the values recalculate, though extending far beyond the defaults may need extra rows copied down.</t>
        </is>
      </c>
    </row>
  </sheetData>
  <mergeCells count="5">
    <mergeCell ref="A55:E55"/>
    <mergeCell ref="A2:B2"/>
    <mergeCell ref="A15:E15"/>
    <mergeCell ref="A1:E1"/>
    <mergeCell ref="A8:B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2026-08-17T13:06:11Z</dcterms:created>
  <dcterms:modified xmlns:dcterms="http://purl.org/dc/terms/" xmlns:xsi="http://www.w3.org/2001/XMLSchema-instance" xsi:type="dcterms:W3CDTF">2026-08-17T13:06:11Z</dcterms:modified>
</cp:coreProperties>
</file>