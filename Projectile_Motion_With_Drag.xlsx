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le w Dr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color rgb="001B222D"/>
      <sz val="11"/>
    </font>
    <font>
      <name val="Calibri"/>
      <b val="1"/>
      <color rgb="000B1F3A"/>
      <sz val="11"/>
    </font>
    <font>
      <name val="Calibri"/>
      <b val="1"/>
      <color rgb="00FFFFFF"/>
      <sz val="10.5"/>
    </font>
    <font>
      <name val="Calibri"/>
      <color rgb="001B222D"/>
      <sz val="10"/>
    </font>
    <font>
      <name val="Calibri"/>
      <i val="1"/>
      <color rgb="006B7484"/>
      <sz val="9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E8F84"/>
      </patternFill>
    </fill>
    <fill>
      <patternFill patternType="solid">
        <fgColor rgb="00EAF3F7"/>
      </patternFill>
    </fill>
    <fill>
      <patternFill patternType="solid">
        <fgColor rgb="00EAF7EE"/>
      </patternFill>
    </fill>
    <fill>
      <patternFill patternType="solid">
        <fgColor rgb="00E9EDF3"/>
      </patternFill>
    </fill>
  </fills>
  <borders count="2">
    <border>
      <left/>
      <right/>
      <top/>
      <bottom/>
      <diagonal/>
    </border>
    <border>
      <left style="thin">
        <color rgb="00C7CFDB"/>
      </left>
      <right style="thin">
        <color rgb="00C7CFDB"/>
      </right>
      <top style="thin">
        <color rgb="00C7CFDB"/>
      </top>
      <bottom style="thin">
        <color rgb="00C7CF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Projectile Motion: Ideal Vacuum vs. Air Resistance</a:t>
            </a:r>
          </a:p>
        </rich>
      </tx>
    </title>
    <plotArea>
      <scatterChart>
        <ser>
          <idx val="0"/>
          <order val="0"/>
          <tx>
            <v>Trajectory with Drag</v>
          </tx>
          <spPr>
            <a:ln xmlns:a="http://schemas.openxmlformats.org/drawingml/2006/main" w="22000">
              <a:solidFill>
                <a:srgbClr val="E0473A"/>
              </a:solidFill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'Projectile w Drag'!$B$16:$B$197</f>
            </numRef>
          </xVal>
          <yVal>
            <numRef>
              <f>'Projectile w Drag'!$C$16:$C$197</f>
            </numRef>
          </yVal>
          <smooth val="1"/>
        </ser>
        <ser>
          <idx val="1"/>
          <order val="1"/>
          <tx>
            <v>Ideal Trajectory (Vacuum)</v>
          </tx>
          <spPr>
            <a:ln xmlns:a="http://schemas.openxmlformats.org/drawingml/2006/main" w="22000">
              <a:solidFill>
                <a:srgbClr val="2E8FC4"/>
              </a:solidFill>
              <a:prstDash val="dash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'Projectile w Drag'!$I$16:$I$197</f>
            </numRef>
          </xVal>
          <yVal>
            <numRef>
              <f>'Projectile w Drag'!$J$16:$J$197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Horizontal Distance (m)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 (m)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14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2D Projectile Motion — Ideal vs. Quadratic Air Resistance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1.  INPUT PARAMETERS</t>
        </is>
      </c>
      <c r="B2" s="4" t="n"/>
    </row>
    <row r="3">
      <c r="A3" s="5" t="inlineStr">
        <is>
          <t>Initial Velocity, v₀ (m/s)</t>
        </is>
      </c>
      <c r="B3" s="6" t="n">
        <v>25</v>
      </c>
    </row>
    <row r="4">
      <c r="A4" s="5" t="inlineStr">
        <is>
          <t>Launch Angle, θ (degrees)</t>
        </is>
      </c>
      <c r="B4" s="7" t="n">
        <v>45</v>
      </c>
    </row>
    <row r="5">
      <c r="A5" s="5" t="inlineStr">
        <is>
          <t>Acceleration due to Gravity, g (m/s²)</t>
        </is>
      </c>
      <c r="B5" s="6" t="n">
        <v>9.81</v>
      </c>
    </row>
    <row r="6">
      <c r="A6" s="5" t="inlineStr">
        <is>
          <t>Time Step, dt (s)</t>
        </is>
      </c>
      <c r="B6" s="8" t="n">
        <v>0.02</v>
      </c>
    </row>
    <row r="7">
      <c r="A7" s="5" t="inlineStr">
        <is>
          <t>Air Density, ρ (kg/m³)</t>
        </is>
      </c>
      <c r="B7" s="8" t="n">
        <v>1.225</v>
      </c>
    </row>
    <row r="8">
      <c r="A8" s="5" t="inlineStr">
        <is>
          <t>Drag Coefficient, Cd (sphere)</t>
        </is>
      </c>
      <c r="B8" s="6" t="n">
        <v>0.47</v>
      </c>
    </row>
    <row r="9">
      <c r="A9" s="5" t="inlineStr">
        <is>
          <t>Projectile Radius, r (m)</t>
        </is>
      </c>
      <c r="B9" s="8" t="n">
        <v>0.05</v>
      </c>
    </row>
    <row r="10">
      <c r="A10" s="5" t="inlineStr">
        <is>
          <t>Projectile Mass, m (kg)</t>
        </is>
      </c>
      <c r="B10" s="6" t="n">
        <v>0.25</v>
      </c>
    </row>
    <row r="11">
      <c r="A11" s="5" t="inlineStr">
        <is>
          <t>Cross-sectional Area, A = πr² (m²)</t>
        </is>
      </c>
      <c r="B11" s="9">
        <f>PI()*B9^2</f>
        <v/>
      </c>
    </row>
    <row r="12">
      <c r="A12" s="5" t="inlineStr">
        <is>
          <t>Drag Constant, k = 0.5·ρ·Cd·A</t>
        </is>
      </c>
      <c r="B12" s="9">
        <f>0.5*B7*B8*B11</f>
        <v/>
      </c>
    </row>
    <row r="14" ht="20" customHeight="1">
      <c r="A14" s="3" t="inlineStr">
        <is>
          <t>2.  NUMERICAL INTEGRATION TABLE (EULER'S METHOD)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10" t="inlineStr">
        <is>
          <t>Time t (s)</t>
        </is>
      </c>
      <c r="B15" s="10" t="inlineStr">
        <is>
          <t>x_drag (m)</t>
        </is>
      </c>
      <c r="C15" s="10" t="inlineStr">
        <is>
          <t>y_drag (m)</t>
        </is>
      </c>
      <c r="D15" s="10" t="inlineStr">
        <is>
          <t>vx (m/s)</t>
        </is>
      </c>
      <c r="E15" s="10" t="inlineStr">
        <is>
          <t>vy (m/s)</t>
        </is>
      </c>
      <c r="F15" s="10" t="inlineStr">
        <is>
          <t>v_total (m/s)</t>
        </is>
      </c>
      <c r="G15" s="10" t="inlineStr">
        <is>
          <t>ax (m/s²)</t>
        </is>
      </c>
      <c r="H15" s="10" t="inlineStr">
        <is>
          <t>ay (m/s²)</t>
        </is>
      </c>
      <c r="I15" s="10" t="inlineStr">
        <is>
          <t>x_ideal (m)</t>
        </is>
      </c>
      <c r="J15" s="10" t="inlineStr">
        <is>
          <t>y_ideal (m)</t>
        </is>
      </c>
    </row>
    <row r="16">
      <c r="A16" s="11" t="n">
        <v>0</v>
      </c>
      <c r="B16" s="11" t="n">
        <v>0</v>
      </c>
      <c r="C16" s="11" t="n">
        <v>0</v>
      </c>
      <c r="D16" s="11">
        <f>$B$3*COS(RADIANS($B$4))</f>
        <v/>
      </c>
      <c r="E16" s="11">
        <f>$B$3*SIN(RADIANS($B$4))</f>
        <v/>
      </c>
      <c r="F16" s="11">
        <f>SQRT(D16^2+E16^2)</f>
        <v/>
      </c>
      <c r="G16" s="11">
        <f>-($B$12/$B$10)*D16*F16</f>
        <v/>
      </c>
      <c r="H16" s="11">
        <f>-$B$5-($B$12/$B$10)*E16*F16</f>
        <v/>
      </c>
      <c r="I16" s="11" t="n">
        <v>0</v>
      </c>
      <c r="J16" s="11" t="n">
        <v>0</v>
      </c>
    </row>
    <row r="17">
      <c r="A17" s="12">
        <f>A16+$B$6</f>
        <v/>
      </c>
      <c r="B17" s="12">
        <f>B16+D16*$B$6</f>
        <v/>
      </c>
      <c r="C17" s="12">
        <f>MAX(0,C16+E16*$B$6)</f>
        <v/>
      </c>
      <c r="D17" s="12">
        <f>D16+G16*$B$6</f>
        <v/>
      </c>
      <c r="E17" s="12">
        <f>E16+H16*$B$6</f>
        <v/>
      </c>
      <c r="F17" s="12">
        <f>SQRT(D17^2+E17^2)</f>
        <v/>
      </c>
      <c r="G17" s="12">
        <f>IF(C17&gt;0,-($B$12/$B$10)*D17*F17,0)</f>
        <v/>
      </c>
      <c r="H17" s="12">
        <f>IF(C17&gt;0,-$B$5-($B$12/$B$10)*E17*F17,0)</f>
        <v/>
      </c>
      <c r="I17" s="12">
        <f>$B$3*COS(RADIANS($B$4))*A17</f>
        <v/>
      </c>
      <c r="J17" s="12">
        <f>MAX(0,($B$3*SIN(RADIANS($B$4))*A17)-(0.5*$B$5*A17^2))</f>
        <v/>
      </c>
    </row>
    <row r="18">
      <c r="A18" s="11">
        <f>A17+$B$6</f>
        <v/>
      </c>
      <c r="B18" s="11">
        <f>B17+D17*$B$6</f>
        <v/>
      </c>
      <c r="C18" s="11">
        <f>MAX(0,C17+E17*$B$6)</f>
        <v/>
      </c>
      <c r="D18" s="11">
        <f>D17+G17*$B$6</f>
        <v/>
      </c>
      <c r="E18" s="11">
        <f>E17+H17*$B$6</f>
        <v/>
      </c>
      <c r="F18" s="11">
        <f>SQRT(D18^2+E18^2)</f>
        <v/>
      </c>
      <c r="G18" s="11">
        <f>IF(C18&gt;0,-($B$12/$B$10)*D18*F18,0)</f>
        <v/>
      </c>
      <c r="H18" s="11">
        <f>IF(C18&gt;0,-$B$5-($B$12/$B$10)*E18*F18,0)</f>
        <v/>
      </c>
      <c r="I18" s="11">
        <f>$B$3*COS(RADIANS($B$4))*A18</f>
        <v/>
      </c>
      <c r="J18" s="11">
        <f>MAX(0,($B$3*SIN(RADIANS($B$4))*A18)-(0.5*$B$5*A18^2))</f>
        <v/>
      </c>
    </row>
    <row r="19">
      <c r="A19" s="12">
        <f>A18+$B$6</f>
        <v/>
      </c>
      <c r="B19" s="12">
        <f>B18+D18*$B$6</f>
        <v/>
      </c>
      <c r="C19" s="12">
        <f>MAX(0,C18+E18*$B$6)</f>
        <v/>
      </c>
      <c r="D19" s="12">
        <f>D18+G18*$B$6</f>
        <v/>
      </c>
      <c r="E19" s="12">
        <f>E18+H18*$B$6</f>
        <v/>
      </c>
      <c r="F19" s="12">
        <f>SQRT(D19^2+E19^2)</f>
        <v/>
      </c>
      <c r="G19" s="12">
        <f>IF(C19&gt;0,-($B$12/$B$10)*D19*F19,0)</f>
        <v/>
      </c>
      <c r="H19" s="12">
        <f>IF(C19&gt;0,-$B$5-($B$12/$B$10)*E19*F19,0)</f>
        <v/>
      </c>
      <c r="I19" s="12">
        <f>$B$3*COS(RADIANS($B$4))*A19</f>
        <v/>
      </c>
      <c r="J19" s="12">
        <f>MAX(0,($B$3*SIN(RADIANS($B$4))*A19)-(0.5*$B$5*A19^2))</f>
        <v/>
      </c>
    </row>
    <row r="20">
      <c r="A20" s="11">
        <f>A19+$B$6</f>
        <v/>
      </c>
      <c r="B20" s="11">
        <f>B19+D19*$B$6</f>
        <v/>
      </c>
      <c r="C20" s="11">
        <f>MAX(0,C19+E19*$B$6)</f>
        <v/>
      </c>
      <c r="D20" s="11">
        <f>D19+G19*$B$6</f>
        <v/>
      </c>
      <c r="E20" s="11">
        <f>E19+H19*$B$6</f>
        <v/>
      </c>
      <c r="F20" s="11">
        <f>SQRT(D20^2+E20^2)</f>
        <v/>
      </c>
      <c r="G20" s="11">
        <f>IF(C20&gt;0,-($B$12/$B$10)*D20*F20,0)</f>
        <v/>
      </c>
      <c r="H20" s="11">
        <f>IF(C20&gt;0,-$B$5-($B$12/$B$10)*E20*F20,0)</f>
        <v/>
      </c>
      <c r="I20" s="11">
        <f>$B$3*COS(RADIANS($B$4))*A20</f>
        <v/>
      </c>
      <c r="J20" s="11">
        <f>MAX(0,($B$3*SIN(RADIANS($B$4))*A20)-(0.5*$B$5*A20^2))</f>
        <v/>
      </c>
    </row>
    <row r="21">
      <c r="A21" s="12">
        <f>A20+$B$6</f>
        <v/>
      </c>
      <c r="B21" s="12">
        <f>B20+D20*$B$6</f>
        <v/>
      </c>
      <c r="C21" s="12">
        <f>MAX(0,C20+E20*$B$6)</f>
        <v/>
      </c>
      <c r="D21" s="12">
        <f>D20+G20*$B$6</f>
        <v/>
      </c>
      <c r="E21" s="12">
        <f>E20+H20*$B$6</f>
        <v/>
      </c>
      <c r="F21" s="12">
        <f>SQRT(D21^2+E21^2)</f>
        <v/>
      </c>
      <c r="G21" s="12">
        <f>IF(C21&gt;0,-($B$12/$B$10)*D21*F21,0)</f>
        <v/>
      </c>
      <c r="H21" s="12">
        <f>IF(C21&gt;0,-$B$5-($B$12/$B$10)*E21*F21,0)</f>
        <v/>
      </c>
      <c r="I21" s="12">
        <f>$B$3*COS(RADIANS($B$4))*A21</f>
        <v/>
      </c>
      <c r="J21" s="12">
        <f>MAX(0,($B$3*SIN(RADIANS($B$4))*A21)-(0.5*$B$5*A21^2))</f>
        <v/>
      </c>
    </row>
    <row r="22">
      <c r="A22" s="11">
        <f>A21+$B$6</f>
        <v/>
      </c>
      <c r="B22" s="11">
        <f>B21+D21*$B$6</f>
        <v/>
      </c>
      <c r="C22" s="11">
        <f>MAX(0,C21+E21*$B$6)</f>
        <v/>
      </c>
      <c r="D22" s="11">
        <f>D21+G21*$B$6</f>
        <v/>
      </c>
      <c r="E22" s="11">
        <f>E21+H21*$B$6</f>
        <v/>
      </c>
      <c r="F22" s="11">
        <f>SQRT(D22^2+E22^2)</f>
        <v/>
      </c>
      <c r="G22" s="11">
        <f>IF(C22&gt;0,-($B$12/$B$10)*D22*F22,0)</f>
        <v/>
      </c>
      <c r="H22" s="11">
        <f>IF(C22&gt;0,-$B$5-($B$12/$B$10)*E22*F22,0)</f>
        <v/>
      </c>
      <c r="I22" s="11">
        <f>$B$3*COS(RADIANS($B$4))*A22</f>
        <v/>
      </c>
      <c r="J22" s="11">
        <f>MAX(0,($B$3*SIN(RADIANS($B$4))*A22)-(0.5*$B$5*A22^2))</f>
        <v/>
      </c>
    </row>
    <row r="23">
      <c r="A23" s="12">
        <f>A22+$B$6</f>
        <v/>
      </c>
      <c r="B23" s="12">
        <f>B22+D22*$B$6</f>
        <v/>
      </c>
      <c r="C23" s="12">
        <f>MAX(0,C22+E22*$B$6)</f>
        <v/>
      </c>
      <c r="D23" s="12">
        <f>D22+G22*$B$6</f>
        <v/>
      </c>
      <c r="E23" s="12">
        <f>E22+H22*$B$6</f>
        <v/>
      </c>
      <c r="F23" s="12">
        <f>SQRT(D23^2+E23^2)</f>
        <v/>
      </c>
      <c r="G23" s="12">
        <f>IF(C23&gt;0,-($B$12/$B$10)*D23*F23,0)</f>
        <v/>
      </c>
      <c r="H23" s="12">
        <f>IF(C23&gt;0,-$B$5-($B$12/$B$10)*E23*F23,0)</f>
        <v/>
      </c>
      <c r="I23" s="12">
        <f>$B$3*COS(RADIANS($B$4))*A23</f>
        <v/>
      </c>
      <c r="J23" s="12">
        <f>MAX(0,($B$3*SIN(RADIANS($B$4))*A23)-(0.5*$B$5*A23^2))</f>
        <v/>
      </c>
    </row>
    <row r="24">
      <c r="A24" s="11">
        <f>A23+$B$6</f>
        <v/>
      </c>
      <c r="B24" s="11">
        <f>B23+D23*$B$6</f>
        <v/>
      </c>
      <c r="C24" s="11">
        <f>MAX(0,C23+E23*$B$6)</f>
        <v/>
      </c>
      <c r="D24" s="11">
        <f>D23+G23*$B$6</f>
        <v/>
      </c>
      <c r="E24" s="11">
        <f>E23+H23*$B$6</f>
        <v/>
      </c>
      <c r="F24" s="11">
        <f>SQRT(D24^2+E24^2)</f>
        <v/>
      </c>
      <c r="G24" s="11">
        <f>IF(C24&gt;0,-($B$12/$B$10)*D24*F24,0)</f>
        <v/>
      </c>
      <c r="H24" s="11">
        <f>IF(C24&gt;0,-$B$5-($B$12/$B$10)*E24*F24,0)</f>
        <v/>
      </c>
      <c r="I24" s="11">
        <f>$B$3*COS(RADIANS($B$4))*A24</f>
        <v/>
      </c>
      <c r="J24" s="11">
        <f>MAX(0,($B$3*SIN(RADIANS($B$4))*A24)-(0.5*$B$5*A24^2))</f>
        <v/>
      </c>
    </row>
    <row r="25">
      <c r="A25" s="12">
        <f>A24+$B$6</f>
        <v/>
      </c>
      <c r="B25" s="12">
        <f>B24+D24*$B$6</f>
        <v/>
      </c>
      <c r="C25" s="12">
        <f>MAX(0,C24+E24*$B$6)</f>
        <v/>
      </c>
      <c r="D25" s="12">
        <f>D24+G24*$B$6</f>
        <v/>
      </c>
      <c r="E25" s="12">
        <f>E24+H24*$B$6</f>
        <v/>
      </c>
      <c r="F25" s="12">
        <f>SQRT(D25^2+E25^2)</f>
        <v/>
      </c>
      <c r="G25" s="12">
        <f>IF(C25&gt;0,-($B$12/$B$10)*D25*F25,0)</f>
        <v/>
      </c>
      <c r="H25" s="12">
        <f>IF(C25&gt;0,-$B$5-($B$12/$B$10)*E25*F25,0)</f>
        <v/>
      </c>
      <c r="I25" s="12">
        <f>$B$3*COS(RADIANS($B$4))*A25</f>
        <v/>
      </c>
      <c r="J25" s="12">
        <f>MAX(0,($B$3*SIN(RADIANS($B$4))*A25)-(0.5*$B$5*A25^2))</f>
        <v/>
      </c>
    </row>
    <row r="26">
      <c r="A26" s="11">
        <f>A25+$B$6</f>
        <v/>
      </c>
      <c r="B26" s="11">
        <f>B25+D25*$B$6</f>
        <v/>
      </c>
      <c r="C26" s="11">
        <f>MAX(0,C25+E25*$B$6)</f>
        <v/>
      </c>
      <c r="D26" s="11">
        <f>D25+G25*$B$6</f>
        <v/>
      </c>
      <c r="E26" s="11">
        <f>E25+H25*$B$6</f>
        <v/>
      </c>
      <c r="F26" s="11">
        <f>SQRT(D26^2+E26^2)</f>
        <v/>
      </c>
      <c r="G26" s="11">
        <f>IF(C26&gt;0,-($B$12/$B$10)*D26*F26,0)</f>
        <v/>
      </c>
      <c r="H26" s="11">
        <f>IF(C26&gt;0,-$B$5-($B$12/$B$10)*E26*F26,0)</f>
        <v/>
      </c>
      <c r="I26" s="11">
        <f>$B$3*COS(RADIANS($B$4))*A26</f>
        <v/>
      </c>
      <c r="J26" s="11">
        <f>MAX(0,($B$3*SIN(RADIANS($B$4))*A26)-(0.5*$B$5*A26^2))</f>
        <v/>
      </c>
    </row>
    <row r="27">
      <c r="A27" s="12">
        <f>A26+$B$6</f>
        <v/>
      </c>
      <c r="B27" s="12">
        <f>B26+D26*$B$6</f>
        <v/>
      </c>
      <c r="C27" s="12">
        <f>MAX(0,C26+E26*$B$6)</f>
        <v/>
      </c>
      <c r="D27" s="12">
        <f>D26+G26*$B$6</f>
        <v/>
      </c>
      <c r="E27" s="12">
        <f>E26+H26*$B$6</f>
        <v/>
      </c>
      <c r="F27" s="12">
        <f>SQRT(D27^2+E27^2)</f>
        <v/>
      </c>
      <c r="G27" s="12">
        <f>IF(C27&gt;0,-($B$12/$B$10)*D27*F27,0)</f>
        <v/>
      </c>
      <c r="H27" s="12">
        <f>IF(C27&gt;0,-$B$5-($B$12/$B$10)*E27*F27,0)</f>
        <v/>
      </c>
      <c r="I27" s="12">
        <f>$B$3*COS(RADIANS($B$4))*A27</f>
        <v/>
      </c>
      <c r="J27" s="12">
        <f>MAX(0,($B$3*SIN(RADIANS($B$4))*A27)-(0.5*$B$5*A27^2))</f>
        <v/>
      </c>
    </row>
    <row r="28">
      <c r="A28" s="11">
        <f>A27+$B$6</f>
        <v/>
      </c>
      <c r="B28" s="11">
        <f>B27+D27*$B$6</f>
        <v/>
      </c>
      <c r="C28" s="11">
        <f>MAX(0,C27+E27*$B$6)</f>
        <v/>
      </c>
      <c r="D28" s="11">
        <f>D27+G27*$B$6</f>
        <v/>
      </c>
      <c r="E28" s="11">
        <f>E27+H27*$B$6</f>
        <v/>
      </c>
      <c r="F28" s="11">
        <f>SQRT(D28^2+E28^2)</f>
        <v/>
      </c>
      <c r="G28" s="11">
        <f>IF(C28&gt;0,-($B$12/$B$10)*D28*F28,0)</f>
        <v/>
      </c>
      <c r="H28" s="11">
        <f>IF(C28&gt;0,-$B$5-($B$12/$B$10)*E28*F28,0)</f>
        <v/>
      </c>
      <c r="I28" s="11">
        <f>$B$3*COS(RADIANS($B$4))*A28</f>
        <v/>
      </c>
      <c r="J28" s="11">
        <f>MAX(0,($B$3*SIN(RADIANS($B$4))*A28)-(0.5*$B$5*A28^2))</f>
        <v/>
      </c>
    </row>
    <row r="29">
      <c r="A29" s="12">
        <f>A28+$B$6</f>
        <v/>
      </c>
      <c r="B29" s="12">
        <f>B28+D28*$B$6</f>
        <v/>
      </c>
      <c r="C29" s="12">
        <f>MAX(0,C28+E28*$B$6)</f>
        <v/>
      </c>
      <c r="D29" s="12">
        <f>D28+G28*$B$6</f>
        <v/>
      </c>
      <c r="E29" s="12">
        <f>E28+H28*$B$6</f>
        <v/>
      </c>
      <c r="F29" s="12">
        <f>SQRT(D29^2+E29^2)</f>
        <v/>
      </c>
      <c r="G29" s="12">
        <f>IF(C29&gt;0,-($B$12/$B$10)*D29*F29,0)</f>
        <v/>
      </c>
      <c r="H29" s="12">
        <f>IF(C29&gt;0,-$B$5-($B$12/$B$10)*E29*F29,0)</f>
        <v/>
      </c>
      <c r="I29" s="12">
        <f>$B$3*COS(RADIANS($B$4))*A29</f>
        <v/>
      </c>
      <c r="J29" s="12">
        <f>MAX(0,($B$3*SIN(RADIANS($B$4))*A29)-(0.5*$B$5*A29^2))</f>
        <v/>
      </c>
    </row>
    <row r="30">
      <c r="A30" s="11">
        <f>A29+$B$6</f>
        <v/>
      </c>
      <c r="B30" s="11">
        <f>B29+D29*$B$6</f>
        <v/>
      </c>
      <c r="C30" s="11">
        <f>MAX(0,C29+E29*$B$6)</f>
        <v/>
      </c>
      <c r="D30" s="11">
        <f>D29+G29*$B$6</f>
        <v/>
      </c>
      <c r="E30" s="11">
        <f>E29+H29*$B$6</f>
        <v/>
      </c>
      <c r="F30" s="11">
        <f>SQRT(D30^2+E30^2)</f>
        <v/>
      </c>
      <c r="G30" s="11">
        <f>IF(C30&gt;0,-($B$12/$B$10)*D30*F30,0)</f>
        <v/>
      </c>
      <c r="H30" s="11">
        <f>IF(C30&gt;0,-$B$5-($B$12/$B$10)*E30*F30,0)</f>
        <v/>
      </c>
      <c r="I30" s="11">
        <f>$B$3*COS(RADIANS($B$4))*A30</f>
        <v/>
      </c>
      <c r="J30" s="11">
        <f>MAX(0,($B$3*SIN(RADIANS($B$4))*A30)-(0.5*$B$5*A30^2))</f>
        <v/>
      </c>
    </row>
    <row r="31">
      <c r="A31" s="12">
        <f>A30+$B$6</f>
        <v/>
      </c>
      <c r="B31" s="12">
        <f>B30+D30*$B$6</f>
        <v/>
      </c>
      <c r="C31" s="12">
        <f>MAX(0,C30+E30*$B$6)</f>
        <v/>
      </c>
      <c r="D31" s="12">
        <f>D30+G30*$B$6</f>
        <v/>
      </c>
      <c r="E31" s="12">
        <f>E30+H30*$B$6</f>
        <v/>
      </c>
      <c r="F31" s="12">
        <f>SQRT(D31^2+E31^2)</f>
        <v/>
      </c>
      <c r="G31" s="12">
        <f>IF(C31&gt;0,-($B$12/$B$10)*D31*F31,0)</f>
        <v/>
      </c>
      <c r="H31" s="12">
        <f>IF(C31&gt;0,-$B$5-($B$12/$B$10)*E31*F31,0)</f>
        <v/>
      </c>
      <c r="I31" s="12">
        <f>$B$3*COS(RADIANS($B$4))*A31</f>
        <v/>
      </c>
      <c r="J31" s="12">
        <f>MAX(0,($B$3*SIN(RADIANS($B$4))*A31)-(0.5*$B$5*A31^2))</f>
        <v/>
      </c>
    </row>
    <row r="32">
      <c r="A32" s="11">
        <f>A31+$B$6</f>
        <v/>
      </c>
      <c r="B32" s="11">
        <f>B31+D31*$B$6</f>
        <v/>
      </c>
      <c r="C32" s="11">
        <f>MAX(0,C31+E31*$B$6)</f>
        <v/>
      </c>
      <c r="D32" s="11">
        <f>D31+G31*$B$6</f>
        <v/>
      </c>
      <c r="E32" s="11">
        <f>E31+H31*$B$6</f>
        <v/>
      </c>
      <c r="F32" s="11">
        <f>SQRT(D32^2+E32^2)</f>
        <v/>
      </c>
      <c r="G32" s="11">
        <f>IF(C32&gt;0,-($B$12/$B$10)*D32*F32,0)</f>
        <v/>
      </c>
      <c r="H32" s="11">
        <f>IF(C32&gt;0,-$B$5-($B$12/$B$10)*E32*F32,0)</f>
        <v/>
      </c>
      <c r="I32" s="11">
        <f>$B$3*COS(RADIANS($B$4))*A32</f>
        <v/>
      </c>
      <c r="J32" s="11">
        <f>MAX(0,($B$3*SIN(RADIANS($B$4))*A32)-(0.5*$B$5*A32^2))</f>
        <v/>
      </c>
    </row>
    <row r="33">
      <c r="A33" s="12">
        <f>A32+$B$6</f>
        <v/>
      </c>
      <c r="B33" s="12">
        <f>B32+D32*$B$6</f>
        <v/>
      </c>
      <c r="C33" s="12">
        <f>MAX(0,C32+E32*$B$6)</f>
        <v/>
      </c>
      <c r="D33" s="12">
        <f>D32+G32*$B$6</f>
        <v/>
      </c>
      <c r="E33" s="12">
        <f>E32+H32*$B$6</f>
        <v/>
      </c>
      <c r="F33" s="12">
        <f>SQRT(D33^2+E33^2)</f>
        <v/>
      </c>
      <c r="G33" s="12">
        <f>IF(C33&gt;0,-($B$12/$B$10)*D33*F33,0)</f>
        <v/>
      </c>
      <c r="H33" s="12">
        <f>IF(C33&gt;0,-$B$5-($B$12/$B$10)*E33*F33,0)</f>
        <v/>
      </c>
      <c r="I33" s="12">
        <f>$B$3*COS(RADIANS($B$4))*A33</f>
        <v/>
      </c>
      <c r="J33" s="12">
        <f>MAX(0,($B$3*SIN(RADIANS($B$4))*A33)-(0.5*$B$5*A33^2))</f>
        <v/>
      </c>
    </row>
    <row r="34">
      <c r="A34" s="11">
        <f>A33+$B$6</f>
        <v/>
      </c>
      <c r="B34" s="11">
        <f>B33+D33*$B$6</f>
        <v/>
      </c>
      <c r="C34" s="11">
        <f>MAX(0,C33+E33*$B$6)</f>
        <v/>
      </c>
      <c r="D34" s="11">
        <f>D33+G33*$B$6</f>
        <v/>
      </c>
      <c r="E34" s="11">
        <f>E33+H33*$B$6</f>
        <v/>
      </c>
      <c r="F34" s="11">
        <f>SQRT(D34^2+E34^2)</f>
        <v/>
      </c>
      <c r="G34" s="11">
        <f>IF(C34&gt;0,-($B$12/$B$10)*D34*F34,0)</f>
        <v/>
      </c>
      <c r="H34" s="11">
        <f>IF(C34&gt;0,-$B$5-($B$12/$B$10)*E34*F34,0)</f>
        <v/>
      </c>
      <c r="I34" s="11">
        <f>$B$3*COS(RADIANS($B$4))*A34</f>
        <v/>
      </c>
      <c r="J34" s="11">
        <f>MAX(0,($B$3*SIN(RADIANS($B$4))*A34)-(0.5*$B$5*A34^2))</f>
        <v/>
      </c>
    </row>
    <row r="35">
      <c r="A35" s="12">
        <f>A34+$B$6</f>
        <v/>
      </c>
      <c r="B35" s="12">
        <f>B34+D34*$B$6</f>
        <v/>
      </c>
      <c r="C35" s="12">
        <f>MAX(0,C34+E34*$B$6)</f>
        <v/>
      </c>
      <c r="D35" s="12">
        <f>D34+G34*$B$6</f>
        <v/>
      </c>
      <c r="E35" s="12">
        <f>E34+H34*$B$6</f>
        <v/>
      </c>
      <c r="F35" s="12">
        <f>SQRT(D35^2+E35^2)</f>
        <v/>
      </c>
      <c r="G35" s="12">
        <f>IF(C35&gt;0,-($B$12/$B$10)*D35*F35,0)</f>
        <v/>
      </c>
      <c r="H35" s="12">
        <f>IF(C35&gt;0,-$B$5-($B$12/$B$10)*E35*F35,0)</f>
        <v/>
      </c>
      <c r="I35" s="12">
        <f>$B$3*COS(RADIANS($B$4))*A35</f>
        <v/>
      </c>
      <c r="J35" s="12">
        <f>MAX(0,($B$3*SIN(RADIANS($B$4))*A35)-(0.5*$B$5*A35^2))</f>
        <v/>
      </c>
    </row>
    <row r="36">
      <c r="A36" s="11">
        <f>A35+$B$6</f>
        <v/>
      </c>
      <c r="B36" s="11">
        <f>B35+D35*$B$6</f>
        <v/>
      </c>
      <c r="C36" s="11">
        <f>MAX(0,C35+E35*$B$6)</f>
        <v/>
      </c>
      <c r="D36" s="11">
        <f>D35+G35*$B$6</f>
        <v/>
      </c>
      <c r="E36" s="11">
        <f>E35+H35*$B$6</f>
        <v/>
      </c>
      <c r="F36" s="11">
        <f>SQRT(D36^2+E36^2)</f>
        <v/>
      </c>
      <c r="G36" s="11">
        <f>IF(C36&gt;0,-($B$12/$B$10)*D36*F36,0)</f>
        <v/>
      </c>
      <c r="H36" s="11">
        <f>IF(C36&gt;0,-$B$5-($B$12/$B$10)*E36*F36,0)</f>
        <v/>
      </c>
      <c r="I36" s="11">
        <f>$B$3*COS(RADIANS($B$4))*A36</f>
        <v/>
      </c>
      <c r="J36" s="11">
        <f>MAX(0,($B$3*SIN(RADIANS($B$4))*A36)-(0.5*$B$5*A36^2))</f>
        <v/>
      </c>
    </row>
    <row r="37">
      <c r="A37" s="12">
        <f>A36+$B$6</f>
        <v/>
      </c>
      <c r="B37" s="12">
        <f>B36+D36*$B$6</f>
        <v/>
      </c>
      <c r="C37" s="12">
        <f>MAX(0,C36+E36*$B$6)</f>
        <v/>
      </c>
      <c r="D37" s="12">
        <f>D36+G36*$B$6</f>
        <v/>
      </c>
      <c r="E37" s="12">
        <f>E36+H36*$B$6</f>
        <v/>
      </c>
      <c r="F37" s="12">
        <f>SQRT(D37^2+E37^2)</f>
        <v/>
      </c>
      <c r="G37" s="12">
        <f>IF(C37&gt;0,-($B$12/$B$10)*D37*F37,0)</f>
        <v/>
      </c>
      <c r="H37" s="12">
        <f>IF(C37&gt;0,-$B$5-($B$12/$B$10)*E37*F37,0)</f>
        <v/>
      </c>
      <c r="I37" s="12">
        <f>$B$3*COS(RADIANS($B$4))*A37</f>
        <v/>
      </c>
      <c r="J37" s="12">
        <f>MAX(0,($B$3*SIN(RADIANS($B$4))*A37)-(0.5*$B$5*A37^2))</f>
        <v/>
      </c>
    </row>
    <row r="38">
      <c r="A38" s="11">
        <f>A37+$B$6</f>
        <v/>
      </c>
      <c r="B38" s="11">
        <f>B37+D37*$B$6</f>
        <v/>
      </c>
      <c r="C38" s="11">
        <f>MAX(0,C37+E37*$B$6)</f>
        <v/>
      </c>
      <c r="D38" s="11">
        <f>D37+G37*$B$6</f>
        <v/>
      </c>
      <c r="E38" s="11">
        <f>E37+H37*$B$6</f>
        <v/>
      </c>
      <c r="F38" s="11">
        <f>SQRT(D38^2+E38^2)</f>
        <v/>
      </c>
      <c r="G38" s="11">
        <f>IF(C38&gt;0,-($B$12/$B$10)*D38*F38,0)</f>
        <v/>
      </c>
      <c r="H38" s="11">
        <f>IF(C38&gt;0,-$B$5-($B$12/$B$10)*E38*F38,0)</f>
        <v/>
      </c>
      <c r="I38" s="11">
        <f>$B$3*COS(RADIANS($B$4))*A38</f>
        <v/>
      </c>
      <c r="J38" s="11">
        <f>MAX(0,($B$3*SIN(RADIANS($B$4))*A38)-(0.5*$B$5*A38^2))</f>
        <v/>
      </c>
    </row>
    <row r="39">
      <c r="A39" s="12">
        <f>A38+$B$6</f>
        <v/>
      </c>
      <c r="B39" s="12">
        <f>B38+D38*$B$6</f>
        <v/>
      </c>
      <c r="C39" s="12">
        <f>MAX(0,C38+E38*$B$6)</f>
        <v/>
      </c>
      <c r="D39" s="12">
        <f>D38+G38*$B$6</f>
        <v/>
      </c>
      <c r="E39" s="12">
        <f>E38+H38*$B$6</f>
        <v/>
      </c>
      <c r="F39" s="12">
        <f>SQRT(D39^2+E39^2)</f>
        <v/>
      </c>
      <c r="G39" s="12">
        <f>IF(C39&gt;0,-($B$12/$B$10)*D39*F39,0)</f>
        <v/>
      </c>
      <c r="H39" s="12">
        <f>IF(C39&gt;0,-$B$5-($B$12/$B$10)*E39*F39,0)</f>
        <v/>
      </c>
      <c r="I39" s="12">
        <f>$B$3*COS(RADIANS($B$4))*A39</f>
        <v/>
      </c>
      <c r="J39" s="12">
        <f>MAX(0,($B$3*SIN(RADIANS($B$4))*A39)-(0.5*$B$5*A39^2))</f>
        <v/>
      </c>
    </row>
    <row r="40">
      <c r="A40" s="11">
        <f>A39+$B$6</f>
        <v/>
      </c>
      <c r="B40" s="11">
        <f>B39+D39*$B$6</f>
        <v/>
      </c>
      <c r="C40" s="11">
        <f>MAX(0,C39+E39*$B$6)</f>
        <v/>
      </c>
      <c r="D40" s="11">
        <f>D39+G39*$B$6</f>
        <v/>
      </c>
      <c r="E40" s="11">
        <f>E39+H39*$B$6</f>
        <v/>
      </c>
      <c r="F40" s="11">
        <f>SQRT(D40^2+E40^2)</f>
        <v/>
      </c>
      <c r="G40" s="11">
        <f>IF(C40&gt;0,-($B$12/$B$10)*D40*F40,0)</f>
        <v/>
      </c>
      <c r="H40" s="11">
        <f>IF(C40&gt;0,-$B$5-($B$12/$B$10)*E40*F40,0)</f>
        <v/>
      </c>
      <c r="I40" s="11">
        <f>$B$3*COS(RADIANS($B$4))*A40</f>
        <v/>
      </c>
      <c r="J40" s="11">
        <f>MAX(0,($B$3*SIN(RADIANS($B$4))*A40)-(0.5*$B$5*A40^2))</f>
        <v/>
      </c>
    </row>
    <row r="41">
      <c r="A41" s="12">
        <f>A40+$B$6</f>
        <v/>
      </c>
      <c r="B41" s="12">
        <f>B40+D40*$B$6</f>
        <v/>
      </c>
      <c r="C41" s="12">
        <f>MAX(0,C40+E40*$B$6)</f>
        <v/>
      </c>
      <c r="D41" s="12">
        <f>D40+G40*$B$6</f>
        <v/>
      </c>
      <c r="E41" s="12">
        <f>E40+H40*$B$6</f>
        <v/>
      </c>
      <c r="F41" s="12">
        <f>SQRT(D41^2+E41^2)</f>
        <v/>
      </c>
      <c r="G41" s="12">
        <f>IF(C41&gt;0,-($B$12/$B$10)*D41*F41,0)</f>
        <v/>
      </c>
      <c r="H41" s="12">
        <f>IF(C41&gt;0,-$B$5-($B$12/$B$10)*E41*F41,0)</f>
        <v/>
      </c>
      <c r="I41" s="12">
        <f>$B$3*COS(RADIANS($B$4))*A41</f>
        <v/>
      </c>
      <c r="J41" s="12">
        <f>MAX(0,($B$3*SIN(RADIANS($B$4))*A41)-(0.5*$B$5*A41^2))</f>
        <v/>
      </c>
    </row>
    <row r="42">
      <c r="A42" s="11">
        <f>A41+$B$6</f>
        <v/>
      </c>
      <c r="B42" s="11">
        <f>B41+D41*$B$6</f>
        <v/>
      </c>
      <c r="C42" s="11">
        <f>MAX(0,C41+E41*$B$6)</f>
        <v/>
      </c>
      <c r="D42" s="11">
        <f>D41+G41*$B$6</f>
        <v/>
      </c>
      <c r="E42" s="11">
        <f>E41+H41*$B$6</f>
        <v/>
      </c>
      <c r="F42" s="11">
        <f>SQRT(D42^2+E42^2)</f>
        <v/>
      </c>
      <c r="G42" s="11">
        <f>IF(C42&gt;0,-($B$12/$B$10)*D42*F42,0)</f>
        <v/>
      </c>
      <c r="H42" s="11">
        <f>IF(C42&gt;0,-$B$5-($B$12/$B$10)*E42*F42,0)</f>
        <v/>
      </c>
      <c r="I42" s="11">
        <f>$B$3*COS(RADIANS($B$4))*A42</f>
        <v/>
      </c>
      <c r="J42" s="11">
        <f>MAX(0,($B$3*SIN(RADIANS($B$4))*A42)-(0.5*$B$5*A42^2))</f>
        <v/>
      </c>
    </row>
    <row r="43">
      <c r="A43" s="12">
        <f>A42+$B$6</f>
        <v/>
      </c>
      <c r="B43" s="12">
        <f>B42+D42*$B$6</f>
        <v/>
      </c>
      <c r="C43" s="12">
        <f>MAX(0,C42+E42*$B$6)</f>
        <v/>
      </c>
      <c r="D43" s="12">
        <f>D42+G42*$B$6</f>
        <v/>
      </c>
      <c r="E43" s="12">
        <f>E42+H42*$B$6</f>
        <v/>
      </c>
      <c r="F43" s="12">
        <f>SQRT(D43^2+E43^2)</f>
        <v/>
      </c>
      <c r="G43" s="12">
        <f>IF(C43&gt;0,-($B$12/$B$10)*D43*F43,0)</f>
        <v/>
      </c>
      <c r="H43" s="12">
        <f>IF(C43&gt;0,-$B$5-($B$12/$B$10)*E43*F43,0)</f>
        <v/>
      </c>
      <c r="I43" s="12">
        <f>$B$3*COS(RADIANS($B$4))*A43</f>
        <v/>
      </c>
      <c r="J43" s="12">
        <f>MAX(0,($B$3*SIN(RADIANS($B$4))*A43)-(0.5*$B$5*A43^2))</f>
        <v/>
      </c>
    </row>
    <row r="44">
      <c r="A44" s="11">
        <f>A43+$B$6</f>
        <v/>
      </c>
      <c r="B44" s="11">
        <f>B43+D43*$B$6</f>
        <v/>
      </c>
      <c r="C44" s="11">
        <f>MAX(0,C43+E43*$B$6)</f>
        <v/>
      </c>
      <c r="D44" s="11">
        <f>D43+G43*$B$6</f>
        <v/>
      </c>
      <c r="E44" s="11">
        <f>E43+H43*$B$6</f>
        <v/>
      </c>
      <c r="F44" s="11">
        <f>SQRT(D44^2+E44^2)</f>
        <v/>
      </c>
      <c r="G44" s="11">
        <f>IF(C44&gt;0,-($B$12/$B$10)*D44*F44,0)</f>
        <v/>
      </c>
      <c r="H44" s="11">
        <f>IF(C44&gt;0,-$B$5-($B$12/$B$10)*E44*F44,0)</f>
        <v/>
      </c>
      <c r="I44" s="11">
        <f>$B$3*COS(RADIANS($B$4))*A44</f>
        <v/>
      </c>
      <c r="J44" s="11">
        <f>MAX(0,($B$3*SIN(RADIANS($B$4))*A44)-(0.5*$B$5*A44^2))</f>
        <v/>
      </c>
    </row>
    <row r="45">
      <c r="A45" s="12">
        <f>A44+$B$6</f>
        <v/>
      </c>
      <c r="B45" s="12">
        <f>B44+D44*$B$6</f>
        <v/>
      </c>
      <c r="C45" s="12">
        <f>MAX(0,C44+E44*$B$6)</f>
        <v/>
      </c>
      <c r="D45" s="12">
        <f>D44+G44*$B$6</f>
        <v/>
      </c>
      <c r="E45" s="12">
        <f>E44+H44*$B$6</f>
        <v/>
      </c>
      <c r="F45" s="12">
        <f>SQRT(D45^2+E45^2)</f>
        <v/>
      </c>
      <c r="G45" s="12">
        <f>IF(C45&gt;0,-($B$12/$B$10)*D45*F45,0)</f>
        <v/>
      </c>
      <c r="H45" s="12">
        <f>IF(C45&gt;0,-$B$5-($B$12/$B$10)*E45*F45,0)</f>
        <v/>
      </c>
      <c r="I45" s="12">
        <f>$B$3*COS(RADIANS($B$4))*A45</f>
        <v/>
      </c>
      <c r="J45" s="12">
        <f>MAX(0,($B$3*SIN(RADIANS($B$4))*A45)-(0.5*$B$5*A45^2))</f>
        <v/>
      </c>
    </row>
    <row r="46">
      <c r="A46" s="11">
        <f>A45+$B$6</f>
        <v/>
      </c>
      <c r="B46" s="11">
        <f>B45+D45*$B$6</f>
        <v/>
      </c>
      <c r="C46" s="11">
        <f>MAX(0,C45+E45*$B$6)</f>
        <v/>
      </c>
      <c r="D46" s="11">
        <f>D45+G45*$B$6</f>
        <v/>
      </c>
      <c r="E46" s="11">
        <f>E45+H45*$B$6</f>
        <v/>
      </c>
      <c r="F46" s="11">
        <f>SQRT(D46^2+E46^2)</f>
        <v/>
      </c>
      <c r="G46" s="11">
        <f>IF(C46&gt;0,-($B$12/$B$10)*D46*F46,0)</f>
        <v/>
      </c>
      <c r="H46" s="11">
        <f>IF(C46&gt;0,-$B$5-($B$12/$B$10)*E46*F46,0)</f>
        <v/>
      </c>
      <c r="I46" s="11">
        <f>$B$3*COS(RADIANS($B$4))*A46</f>
        <v/>
      </c>
      <c r="J46" s="11">
        <f>MAX(0,($B$3*SIN(RADIANS($B$4))*A46)-(0.5*$B$5*A46^2))</f>
        <v/>
      </c>
    </row>
    <row r="47">
      <c r="A47" s="12">
        <f>A46+$B$6</f>
        <v/>
      </c>
      <c r="B47" s="12">
        <f>B46+D46*$B$6</f>
        <v/>
      </c>
      <c r="C47" s="12">
        <f>MAX(0,C46+E46*$B$6)</f>
        <v/>
      </c>
      <c r="D47" s="12">
        <f>D46+G46*$B$6</f>
        <v/>
      </c>
      <c r="E47" s="12">
        <f>E46+H46*$B$6</f>
        <v/>
      </c>
      <c r="F47" s="12">
        <f>SQRT(D47^2+E47^2)</f>
        <v/>
      </c>
      <c r="G47" s="12">
        <f>IF(C47&gt;0,-($B$12/$B$10)*D47*F47,0)</f>
        <v/>
      </c>
      <c r="H47" s="12">
        <f>IF(C47&gt;0,-$B$5-($B$12/$B$10)*E47*F47,0)</f>
        <v/>
      </c>
      <c r="I47" s="12">
        <f>$B$3*COS(RADIANS($B$4))*A47</f>
        <v/>
      </c>
      <c r="J47" s="12">
        <f>MAX(0,($B$3*SIN(RADIANS($B$4))*A47)-(0.5*$B$5*A47^2))</f>
        <v/>
      </c>
    </row>
    <row r="48">
      <c r="A48" s="11">
        <f>A47+$B$6</f>
        <v/>
      </c>
      <c r="B48" s="11">
        <f>B47+D47*$B$6</f>
        <v/>
      </c>
      <c r="C48" s="11">
        <f>MAX(0,C47+E47*$B$6)</f>
        <v/>
      </c>
      <c r="D48" s="11">
        <f>D47+G47*$B$6</f>
        <v/>
      </c>
      <c r="E48" s="11">
        <f>E47+H47*$B$6</f>
        <v/>
      </c>
      <c r="F48" s="11">
        <f>SQRT(D48^2+E48^2)</f>
        <v/>
      </c>
      <c r="G48" s="11">
        <f>IF(C48&gt;0,-($B$12/$B$10)*D48*F48,0)</f>
        <v/>
      </c>
      <c r="H48" s="11">
        <f>IF(C48&gt;0,-$B$5-($B$12/$B$10)*E48*F48,0)</f>
        <v/>
      </c>
      <c r="I48" s="11">
        <f>$B$3*COS(RADIANS($B$4))*A48</f>
        <v/>
      </c>
      <c r="J48" s="11">
        <f>MAX(0,($B$3*SIN(RADIANS($B$4))*A48)-(0.5*$B$5*A48^2))</f>
        <v/>
      </c>
    </row>
    <row r="49">
      <c r="A49" s="12">
        <f>A48+$B$6</f>
        <v/>
      </c>
      <c r="B49" s="12">
        <f>B48+D48*$B$6</f>
        <v/>
      </c>
      <c r="C49" s="12">
        <f>MAX(0,C48+E48*$B$6)</f>
        <v/>
      </c>
      <c r="D49" s="12">
        <f>D48+G48*$B$6</f>
        <v/>
      </c>
      <c r="E49" s="12">
        <f>E48+H48*$B$6</f>
        <v/>
      </c>
      <c r="F49" s="12">
        <f>SQRT(D49^2+E49^2)</f>
        <v/>
      </c>
      <c r="G49" s="12">
        <f>IF(C49&gt;0,-($B$12/$B$10)*D49*F49,0)</f>
        <v/>
      </c>
      <c r="H49" s="12">
        <f>IF(C49&gt;0,-$B$5-($B$12/$B$10)*E49*F49,0)</f>
        <v/>
      </c>
      <c r="I49" s="12">
        <f>$B$3*COS(RADIANS($B$4))*A49</f>
        <v/>
      </c>
      <c r="J49" s="12">
        <f>MAX(0,($B$3*SIN(RADIANS($B$4))*A49)-(0.5*$B$5*A49^2))</f>
        <v/>
      </c>
    </row>
    <row r="50">
      <c r="A50" s="11">
        <f>A49+$B$6</f>
        <v/>
      </c>
      <c r="B50" s="11">
        <f>B49+D49*$B$6</f>
        <v/>
      </c>
      <c r="C50" s="11">
        <f>MAX(0,C49+E49*$B$6)</f>
        <v/>
      </c>
      <c r="D50" s="11">
        <f>D49+G49*$B$6</f>
        <v/>
      </c>
      <c r="E50" s="11">
        <f>E49+H49*$B$6</f>
        <v/>
      </c>
      <c r="F50" s="11">
        <f>SQRT(D50^2+E50^2)</f>
        <v/>
      </c>
      <c r="G50" s="11">
        <f>IF(C50&gt;0,-($B$12/$B$10)*D50*F50,0)</f>
        <v/>
      </c>
      <c r="H50" s="11">
        <f>IF(C50&gt;0,-$B$5-($B$12/$B$10)*E50*F50,0)</f>
        <v/>
      </c>
      <c r="I50" s="11">
        <f>$B$3*COS(RADIANS($B$4))*A50</f>
        <v/>
      </c>
      <c r="J50" s="11">
        <f>MAX(0,($B$3*SIN(RADIANS($B$4))*A50)-(0.5*$B$5*A50^2))</f>
        <v/>
      </c>
    </row>
    <row r="51">
      <c r="A51" s="12">
        <f>A50+$B$6</f>
        <v/>
      </c>
      <c r="B51" s="12">
        <f>B50+D50*$B$6</f>
        <v/>
      </c>
      <c r="C51" s="12">
        <f>MAX(0,C50+E50*$B$6)</f>
        <v/>
      </c>
      <c r="D51" s="12">
        <f>D50+G50*$B$6</f>
        <v/>
      </c>
      <c r="E51" s="12">
        <f>E50+H50*$B$6</f>
        <v/>
      </c>
      <c r="F51" s="12">
        <f>SQRT(D51^2+E51^2)</f>
        <v/>
      </c>
      <c r="G51" s="12">
        <f>IF(C51&gt;0,-($B$12/$B$10)*D51*F51,0)</f>
        <v/>
      </c>
      <c r="H51" s="12">
        <f>IF(C51&gt;0,-$B$5-($B$12/$B$10)*E51*F51,0)</f>
        <v/>
      </c>
      <c r="I51" s="12">
        <f>$B$3*COS(RADIANS($B$4))*A51</f>
        <v/>
      </c>
      <c r="J51" s="12">
        <f>MAX(0,($B$3*SIN(RADIANS($B$4))*A51)-(0.5*$B$5*A51^2))</f>
        <v/>
      </c>
    </row>
    <row r="52">
      <c r="A52" s="11">
        <f>A51+$B$6</f>
        <v/>
      </c>
      <c r="B52" s="11">
        <f>B51+D51*$B$6</f>
        <v/>
      </c>
      <c r="C52" s="11">
        <f>MAX(0,C51+E51*$B$6)</f>
        <v/>
      </c>
      <c r="D52" s="11">
        <f>D51+G51*$B$6</f>
        <v/>
      </c>
      <c r="E52" s="11">
        <f>E51+H51*$B$6</f>
        <v/>
      </c>
      <c r="F52" s="11">
        <f>SQRT(D52^2+E52^2)</f>
        <v/>
      </c>
      <c r="G52" s="11">
        <f>IF(C52&gt;0,-($B$12/$B$10)*D52*F52,0)</f>
        <v/>
      </c>
      <c r="H52" s="11">
        <f>IF(C52&gt;0,-$B$5-($B$12/$B$10)*E52*F52,0)</f>
        <v/>
      </c>
      <c r="I52" s="11">
        <f>$B$3*COS(RADIANS($B$4))*A52</f>
        <v/>
      </c>
      <c r="J52" s="11">
        <f>MAX(0,($B$3*SIN(RADIANS($B$4))*A52)-(0.5*$B$5*A52^2))</f>
        <v/>
      </c>
    </row>
    <row r="53">
      <c r="A53" s="12">
        <f>A52+$B$6</f>
        <v/>
      </c>
      <c r="B53" s="12">
        <f>B52+D52*$B$6</f>
        <v/>
      </c>
      <c r="C53" s="12">
        <f>MAX(0,C52+E52*$B$6)</f>
        <v/>
      </c>
      <c r="D53" s="12">
        <f>D52+G52*$B$6</f>
        <v/>
      </c>
      <c r="E53" s="12">
        <f>E52+H52*$B$6</f>
        <v/>
      </c>
      <c r="F53" s="12">
        <f>SQRT(D53^2+E53^2)</f>
        <v/>
      </c>
      <c r="G53" s="12">
        <f>IF(C53&gt;0,-($B$12/$B$10)*D53*F53,0)</f>
        <v/>
      </c>
      <c r="H53" s="12">
        <f>IF(C53&gt;0,-$B$5-($B$12/$B$10)*E53*F53,0)</f>
        <v/>
      </c>
      <c r="I53" s="12">
        <f>$B$3*COS(RADIANS($B$4))*A53</f>
        <v/>
      </c>
      <c r="J53" s="12">
        <f>MAX(0,($B$3*SIN(RADIANS($B$4))*A53)-(0.5*$B$5*A53^2))</f>
        <v/>
      </c>
    </row>
    <row r="54">
      <c r="A54" s="11">
        <f>A53+$B$6</f>
        <v/>
      </c>
      <c r="B54" s="11">
        <f>B53+D53*$B$6</f>
        <v/>
      </c>
      <c r="C54" s="11">
        <f>MAX(0,C53+E53*$B$6)</f>
        <v/>
      </c>
      <c r="D54" s="11">
        <f>D53+G53*$B$6</f>
        <v/>
      </c>
      <c r="E54" s="11">
        <f>E53+H53*$B$6</f>
        <v/>
      </c>
      <c r="F54" s="11">
        <f>SQRT(D54^2+E54^2)</f>
        <v/>
      </c>
      <c r="G54" s="11">
        <f>IF(C54&gt;0,-($B$12/$B$10)*D54*F54,0)</f>
        <v/>
      </c>
      <c r="H54" s="11">
        <f>IF(C54&gt;0,-$B$5-($B$12/$B$10)*E54*F54,0)</f>
        <v/>
      </c>
      <c r="I54" s="11">
        <f>$B$3*COS(RADIANS($B$4))*A54</f>
        <v/>
      </c>
      <c r="J54" s="11">
        <f>MAX(0,($B$3*SIN(RADIANS($B$4))*A54)-(0.5*$B$5*A54^2))</f>
        <v/>
      </c>
    </row>
    <row r="55">
      <c r="A55" s="12">
        <f>A54+$B$6</f>
        <v/>
      </c>
      <c r="B55" s="12">
        <f>B54+D54*$B$6</f>
        <v/>
      </c>
      <c r="C55" s="12">
        <f>MAX(0,C54+E54*$B$6)</f>
        <v/>
      </c>
      <c r="D55" s="12">
        <f>D54+G54*$B$6</f>
        <v/>
      </c>
      <c r="E55" s="12">
        <f>E54+H54*$B$6</f>
        <v/>
      </c>
      <c r="F55" s="12">
        <f>SQRT(D55^2+E55^2)</f>
        <v/>
      </c>
      <c r="G55" s="12">
        <f>IF(C55&gt;0,-($B$12/$B$10)*D55*F55,0)</f>
        <v/>
      </c>
      <c r="H55" s="12">
        <f>IF(C55&gt;0,-$B$5-($B$12/$B$10)*E55*F55,0)</f>
        <v/>
      </c>
      <c r="I55" s="12">
        <f>$B$3*COS(RADIANS($B$4))*A55</f>
        <v/>
      </c>
      <c r="J55" s="12">
        <f>MAX(0,($B$3*SIN(RADIANS($B$4))*A55)-(0.5*$B$5*A55^2))</f>
        <v/>
      </c>
    </row>
    <row r="56">
      <c r="A56" s="11">
        <f>A55+$B$6</f>
        <v/>
      </c>
      <c r="B56" s="11">
        <f>B55+D55*$B$6</f>
        <v/>
      </c>
      <c r="C56" s="11">
        <f>MAX(0,C55+E55*$B$6)</f>
        <v/>
      </c>
      <c r="D56" s="11">
        <f>D55+G55*$B$6</f>
        <v/>
      </c>
      <c r="E56" s="11">
        <f>E55+H55*$B$6</f>
        <v/>
      </c>
      <c r="F56" s="11">
        <f>SQRT(D56^2+E56^2)</f>
        <v/>
      </c>
      <c r="G56" s="11">
        <f>IF(C56&gt;0,-($B$12/$B$10)*D56*F56,0)</f>
        <v/>
      </c>
      <c r="H56" s="11">
        <f>IF(C56&gt;0,-$B$5-($B$12/$B$10)*E56*F56,0)</f>
        <v/>
      </c>
      <c r="I56" s="11">
        <f>$B$3*COS(RADIANS($B$4))*A56</f>
        <v/>
      </c>
      <c r="J56" s="11">
        <f>MAX(0,($B$3*SIN(RADIANS($B$4))*A56)-(0.5*$B$5*A56^2))</f>
        <v/>
      </c>
    </row>
    <row r="57">
      <c r="A57" s="12">
        <f>A56+$B$6</f>
        <v/>
      </c>
      <c r="B57" s="12">
        <f>B56+D56*$B$6</f>
        <v/>
      </c>
      <c r="C57" s="12">
        <f>MAX(0,C56+E56*$B$6)</f>
        <v/>
      </c>
      <c r="D57" s="12">
        <f>D56+G56*$B$6</f>
        <v/>
      </c>
      <c r="E57" s="12">
        <f>E56+H56*$B$6</f>
        <v/>
      </c>
      <c r="F57" s="12">
        <f>SQRT(D57^2+E57^2)</f>
        <v/>
      </c>
      <c r="G57" s="12">
        <f>IF(C57&gt;0,-($B$12/$B$10)*D57*F57,0)</f>
        <v/>
      </c>
      <c r="H57" s="12">
        <f>IF(C57&gt;0,-$B$5-($B$12/$B$10)*E57*F57,0)</f>
        <v/>
      </c>
      <c r="I57" s="12">
        <f>$B$3*COS(RADIANS($B$4))*A57</f>
        <v/>
      </c>
      <c r="J57" s="12">
        <f>MAX(0,($B$3*SIN(RADIANS($B$4))*A57)-(0.5*$B$5*A57^2))</f>
        <v/>
      </c>
    </row>
    <row r="58">
      <c r="A58" s="11">
        <f>A57+$B$6</f>
        <v/>
      </c>
      <c r="B58" s="11">
        <f>B57+D57*$B$6</f>
        <v/>
      </c>
      <c r="C58" s="11">
        <f>MAX(0,C57+E57*$B$6)</f>
        <v/>
      </c>
      <c r="D58" s="11">
        <f>D57+G57*$B$6</f>
        <v/>
      </c>
      <c r="E58" s="11">
        <f>E57+H57*$B$6</f>
        <v/>
      </c>
      <c r="F58" s="11">
        <f>SQRT(D58^2+E58^2)</f>
        <v/>
      </c>
      <c r="G58" s="11">
        <f>IF(C58&gt;0,-($B$12/$B$10)*D58*F58,0)</f>
        <v/>
      </c>
      <c r="H58" s="11">
        <f>IF(C58&gt;0,-$B$5-($B$12/$B$10)*E58*F58,0)</f>
        <v/>
      </c>
      <c r="I58" s="11">
        <f>$B$3*COS(RADIANS($B$4))*A58</f>
        <v/>
      </c>
      <c r="J58" s="11">
        <f>MAX(0,($B$3*SIN(RADIANS($B$4))*A58)-(0.5*$B$5*A58^2))</f>
        <v/>
      </c>
    </row>
    <row r="59">
      <c r="A59" s="12">
        <f>A58+$B$6</f>
        <v/>
      </c>
      <c r="B59" s="12">
        <f>B58+D58*$B$6</f>
        <v/>
      </c>
      <c r="C59" s="12">
        <f>MAX(0,C58+E58*$B$6)</f>
        <v/>
      </c>
      <c r="D59" s="12">
        <f>D58+G58*$B$6</f>
        <v/>
      </c>
      <c r="E59" s="12">
        <f>E58+H58*$B$6</f>
        <v/>
      </c>
      <c r="F59" s="12">
        <f>SQRT(D59^2+E59^2)</f>
        <v/>
      </c>
      <c r="G59" s="12">
        <f>IF(C59&gt;0,-($B$12/$B$10)*D59*F59,0)</f>
        <v/>
      </c>
      <c r="H59" s="12">
        <f>IF(C59&gt;0,-$B$5-($B$12/$B$10)*E59*F59,0)</f>
        <v/>
      </c>
      <c r="I59" s="12">
        <f>$B$3*COS(RADIANS($B$4))*A59</f>
        <v/>
      </c>
      <c r="J59" s="12">
        <f>MAX(0,($B$3*SIN(RADIANS($B$4))*A59)-(0.5*$B$5*A59^2))</f>
        <v/>
      </c>
    </row>
    <row r="60">
      <c r="A60" s="11">
        <f>A59+$B$6</f>
        <v/>
      </c>
      <c r="B60" s="11">
        <f>B59+D59*$B$6</f>
        <v/>
      </c>
      <c r="C60" s="11">
        <f>MAX(0,C59+E59*$B$6)</f>
        <v/>
      </c>
      <c r="D60" s="11">
        <f>D59+G59*$B$6</f>
        <v/>
      </c>
      <c r="E60" s="11">
        <f>E59+H59*$B$6</f>
        <v/>
      </c>
      <c r="F60" s="11">
        <f>SQRT(D60^2+E60^2)</f>
        <v/>
      </c>
      <c r="G60" s="11">
        <f>IF(C60&gt;0,-($B$12/$B$10)*D60*F60,0)</f>
        <v/>
      </c>
      <c r="H60" s="11">
        <f>IF(C60&gt;0,-$B$5-($B$12/$B$10)*E60*F60,0)</f>
        <v/>
      </c>
      <c r="I60" s="11">
        <f>$B$3*COS(RADIANS($B$4))*A60</f>
        <v/>
      </c>
      <c r="J60" s="11">
        <f>MAX(0,($B$3*SIN(RADIANS($B$4))*A60)-(0.5*$B$5*A60^2))</f>
        <v/>
      </c>
    </row>
    <row r="61">
      <c r="A61" s="12">
        <f>A60+$B$6</f>
        <v/>
      </c>
      <c r="B61" s="12">
        <f>B60+D60*$B$6</f>
        <v/>
      </c>
      <c r="C61" s="12">
        <f>MAX(0,C60+E60*$B$6)</f>
        <v/>
      </c>
      <c r="D61" s="12">
        <f>D60+G60*$B$6</f>
        <v/>
      </c>
      <c r="E61" s="12">
        <f>E60+H60*$B$6</f>
        <v/>
      </c>
      <c r="F61" s="12">
        <f>SQRT(D61^2+E61^2)</f>
        <v/>
      </c>
      <c r="G61" s="12">
        <f>IF(C61&gt;0,-($B$12/$B$10)*D61*F61,0)</f>
        <v/>
      </c>
      <c r="H61" s="12">
        <f>IF(C61&gt;0,-$B$5-($B$12/$B$10)*E61*F61,0)</f>
        <v/>
      </c>
      <c r="I61" s="12">
        <f>$B$3*COS(RADIANS($B$4))*A61</f>
        <v/>
      </c>
      <c r="J61" s="12">
        <f>MAX(0,($B$3*SIN(RADIANS($B$4))*A61)-(0.5*$B$5*A61^2))</f>
        <v/>
      </c>
    </row>
    <row r="62">
      <c r="A62" s="11">
        <f>A61+$B$6</f>
        <v/>
      </c>
      <c r="B62" s="11">
        <f>B61+D61*$B$6</f>
        <v/>
      </c>
      <c r="C62" s="11">
        <f>MAX(0,C61+E61*$B$6)</f>
        <v/>
      </c>
      <c r="D62" s="11">
        <f>D61+G61*$B$6</f>
        <v/>
      </c>
      <c r="E62" s="11">
        <f>E61+H61*$B$6</f>
        <v/>
      </c>
      <c r="F62" s="11">
        <f>SQRT(D62^2+E62^2)</f>
        <v/>
      </c>
      <c r="G62" s="11">
        <f>IF(C62&gt;0,-($B$12/$B$10)*D62*F62,0)</f>
        <v/>
      </c>
      <c r="H62" s="11">
        <f>IF(C62&gt;0,-$B$5-($B$12/$B$10)*E62*F62,0)</f>
        <v/>
      </c>
      <c r="I62" s="11">
        <f>$B$3*COS(RADIANS($B$4))*A62</f>
        <v/>
      </c>
      <c r="J62" s="11">
        <f>MAX(0,($B$3*SIN(RADIANS($B$4))*A62)-(0.5*$B$5*A62^2))</f>
        <v/>
      </c>
    </row>
    <row r="63">
      <c r="A63" s="12">
        <f>A62+$B$6</f>
        <v/>
      </c>
      <c r="B63" s="12">
        <f>B62+D62*$B$6</f>
        <v/>
      </c>
      <c r="C63" s="12">
        <f>MAX(0,C62+E62*$B$6)</f>
        <v/>
      </c>
      <c r="D63" s="12">
        <f>D62+G62*$B$6</f>
        <v/>
      </c>
      <c r="E63" s="12">
        <f>E62+H62*$B$6</f>
        <v/>
      </c>
      <c r="F63" s="12">
        <f>SQRT(D63^2+E63^2)</f>
        <v/>
      </c>
      <c r="G63" s="12">
        <f>IF(C63&gt;0,-($B$12/$B$10)*D63*F63,0)</f>
        <v/>
      </c>
      <c r="H63" s="12">
        <f>IF(C63&gt;0,-$B$5-($B$12/$B$10)*E63*F63,0)</f>
        <v/>
      </c>
      <c r="I63" s="12">
        <f>$B$3*COS(RADIANS($B$4))*A63</f>
        <v/>
      </c>
      <c r="J63" s="12">
        <f>MAX(0,($B$3*SIN(RADIANS($B$4))*A63)-(0.5*$B$5*A63^2))</f>
        <v/>
      </c>
    </row>
    <row r="64">
      <c r="A64" s="11">
        <f>A63+$B$6</f>
        <v/>
      </c>
      <c r="B64" s="11">
        <f>B63+D63*$B$6</f>
        <v/>
      </c>
      <c r="C64" s="11">
        <f>MAX(0,C63+E63*$B$6)</f>
        <v/>
      </c>
      <c r="D64" s="11">
        <f>D63+G63*$B$6</f>
        <v/>
      </c>
      <c r="E64" s="11">
        <f>E63+H63*$B$6</f>
        <v/>
      </c>
      <c r="F64" s="11">
        <f>SQRT(D64^2+E64^2)</f>
        <v/>
      </c>
      <c r="G64" s="11">
        <f>IF(C64&gt;0,-($B$12/$B$10)*D64*F64,0)</f>
        <v/>
      </c>
      <c r="H64" s="11">
        <f>IF(C64&gt;0,-$B$5-($B$12/$B$10)*E64*F64,0)</f>
        <v/>
      </c>
      <c r="I64" s="11">
        <f>$B$3*COS(RADIANS($B$4))*A64</f>
        <v/>
      </c>
      <c r="J64" s="11">
        <f>MAX(0,($B$3*SIN(RADIANS($B$4))*A64)-(0.5*$B$5*A64^2))</f>
        <v/>
      </c>
    </row>
    <row r="65">
      <c r="A65" s="12">
        <f>A64+$B$6</f>
        <v/>
      </c>
      <c r="B65" s="12">
        <f>B64+D64*$B$6</f>
        <v/>
      </c>
      <c r="C65" s="12">
        <f>MAX(0,C64+E64*$B$6)</f>
        <v/>
      </c>
      <c r="D65" s="12">
        <f>D64+G64*$B$6</f>
        <v/>
      </c>
      <c r="E65" s="12">
        <f>E64+H64*$B$6</f>
        <v/>
      </c>
      <c r="F65" s="12">
        <f>SQRT(D65^2+E65^2)</f>
        <v/>
      </c>
      <c r="G65" s="12">
        <f>IF(C65&gt;0,-($B$12/$B$10)*D65*F65,0)</f>
        <v/>
      </c>
      <c r="H65" s="12">
        <f>IF(C65&gt;0,-$B$5-($B$12/$B$10)*E65*F65,0)</f>
        <v/>
      </c>
      <c r="I65" s="12">
        <f>$B$3*COS(RADIANS($B$4))*A65</f>
        <v/>
      </c>
      <c r="J65" s="12">
        <f>MAX(0,($B$3*SIN(RADIANS($B$4))*A65)-(0.5*$B$5*A65^2))</f>
        <v/>
      </c>
    </row>
    <row r="66">
      <c r="A66" s="11">
        <f>A65+$B$6</f>
        <v/>
      </c>
      <c r="B66" s="11">
        <f>B65+D65*$B$6</f>
        <v/>
      </c>
      <c r="C66" s="11">
        <f>MAX(0,C65+E65*$B$6)</f>
        <v/>
      </c>
      <c r="D66" s="11">
        <f>D65+G65*$B$6</f>
        <v/>
      </c>
      <c r="E66" s="11">
        <f>E65+H65*$B$6</f>
        <v/>
      </c>
      <c r="F66" s="11">
        <f>SQRT(D66^2+E66^2)</f>
        <v/>
      </c>
      <c r="G66" s="11">
        <f>IF(C66&gt;0,-($B$12/$B$10)*D66*F66,0)</f>
        <v/>
      </c>
      <c r="H66" s="11">
        <f>IF(C66&gt;0,-$B$5-($B$12/$B$10)*E66*F66,0)</f>
        <v/>
      </c>
      <c r="I66" s="11">
        <f>$B$3*COS(RADIANS($B$4))*A66</f>
        <v/>
      </c>
      <c r="J66" s="11">
        <f>MAX(0,($B$3*SIN(RADIANS($B$4))*A66)-(0.5*$B$5*A66^2))</f>
        <v/>
      </c>
    </row>
    <row r="67">
      <c r="A67" s="12">
        <f>A66+$B$6</f>
        <v/>
      </c>
      <c r="B67" s="12">
        <f>B66+D66*$B$6</f>
        <v/>
      </c>
      <c r="C67" s="12">
        <f>MAX(0,C66+E66*$B$6)</f>
        <v/>
      </c>
      <c r="D67" s="12">
        <f>D66+G66*$B$6</f>
        <v/>
      </c>
      <c r="E67" s="12">
        <f>E66+H66*$B$6</f>
        <v/>
      </c>
      <c r="F67" s="12">
        <f>SQRT(D67^2+E67^2)</f>
        <v/>
      </c>
      <c r="G67" s="12">
        <f>IF(C67&gt;0,-($B$12/$B$10)*D67*F67,0)</f>
        <v/>
      </c>
      <c r="H67" s="12">
        <f>IF(C67&gt;0,-$B$5-($B$12/$B$10)*E67*F67,0)</f>
        <v/>
      </c>
      <c r="I67" s="12">
        <f>$B$3*COS(RADIANS($B$4))*A67</f>
        <v/>
      </c>
      <c r="J67" s="12">
        <f>MAX(0,($B$3*SIN(RADIANS($B$4))*A67)-(0.5*$B$5*A67^2))</f>
        <v/>
      </c>
    </row>
    <row r="68">
      <c r="A68" s="11">
        <f>A67+$B$6</f>
        <v/>
      </c>
      <c r="B68" s="11">
        <f>B67+D67*$B$6</f>
        <v/>
      </c>
      <c r="C68" s="11">
        <f>MAX(0,C67+E67*$B$6)</f>
        <v/>
      </c>
      <c r="D68" s="11">
        <f>D67+G67*$B$6</f>
        <v/>
      </c>
      <c r="E68" s="11">
        <f>E67+H67*$B$6</f>
        <v/>
      </c>
      <c r="F68" s="11">
        <f>SQRT(D68^2+E68^2)</f>
        <v/>
      </c>
      <c r="G68" s="11">
        <f>IF(C68&gt;0,-($B$12/$B$10)*D68*F68,0)</f>
        <v/>
      </c>
      <c r="H68" s="11">
        <f>IF(C68&gt;0,-$B$5-($B$12/$B$10)*E68*F68,0)</f>
        <v/>
      </c>
      <c r="I68" s="11">
        <f>$B$3*COS(RADIANS($B$4))*A68</f>
        <v/>
      </c>
      <c r="J68" s="11">
        <f>MAX(0,($B$3*SIN(RADIANS($B$4))*A68)-(0.5*$B$5*A68^2))</f>
        <v/>
      </c>
    </row>
    <row r="69">
      <c r="A69" s="12">
        <f>A68+$B$6</f>
        <v/>
      </c>
      <c r="B69" s="12">
        <f>B68+D68*$B$6</f>
        <v/>
      </c>
      <c r="C69" s="12">
        <f>MAX(0,C68+E68*$B$6)</f>
        <v/>
      </c>
      <c r="D69" s="12">
        <f>D68+G68*$B$6</f>
        <v/>
      </c>
      <c r="E69" s="12">
        <f>E68+H68*$B$6</f>
        <v/>
      </c>
      <c r="F69" s="12">
        <f>SQRT(D69^2+E69^2)</f>
        <v/>
      </c>
      <c r="G69" s="12">
        <f>IF(C69&gt;0,-($B$12/$B$10)*D69*F69,0)</f>
        <v/>
      </c>
      <c r="H69" s="12">
        <f>IF(C69&gt;0,-$B$5-($B$12/$B$10)*E69*F69,0)</f>
        <v/>
      </c>
      <c r="I69" s="12">
        <f>$B$3*COS(RADIANS($B$4))*A69</f>
        <v/>
      </c>
      <c r="J69" s="12">
        <f>MAX(0,($B$3*SIN(RADIANS($B$4))*A69)-(0.5*$B$5*A69^2))</f>
        <v/>
      </c>
    </row>
    <row r="70">
      <c r="A70" s="11">
        <f>A69+$B$6</f>
        <v/>
      </c>
      <c r="B70" s="11">
        <f>B69+D69*$B$6</f>
        <v/>
      </c>
      <c r="C70" s="11">
        <f>MAX(0,C69+E69*$B$6)</f>
        <v/>
      </c>
      <c r="D70" s="11">
        <f>D69+G69*$B$6</f>
        <v/>
      </c>
      <c r="E70" s="11">
        <f>E69+H69*$B$6</f>
        <v/>
      </c>
      <c r="F70" s="11">
        <f>SQRT(D70^2+E70^2)</f>
        <v/>
      </c>
      <c r="G70" s="11">
        <f>IF(C70&gt;0,-($B$12/$B$10)*D70*F70,0)</f>
        <v/>
      </c>
      <c r="H70" s="11">
        <f>IF(C70&gt;0,-$B$5-($B$12/$B$10)*E70*F70,0)</f>
        <v/>
      </c>
      <c r="I70" s="11">
        <f>$B$3*COS(RADIANS($B$4))*A70</f>
        <v/>
      </c>
      <c r="J70" s="11">
        <f>MAX(0,($B$3*SIN(RADIANS($B$4))*A70)-(0.5*$B$5*A70^2))</f>
        <v/>
      </c>
    </row>
    <row r="71">
      <c r="A71" s="12">
        <f>A70+$B$6</f>
        <v/>
      </c>
      <c r="B71" s="12">
        <f>B70+D70*$B$6</f>
        <v/>
      </c>
      <c r="C71" s="12">
        <f>MAX(0,C70+E70*$B$6)</f>
        <v/>
      </c>
      <c r="D71" s="12">
        <f>D70+G70*$B$6</f>
        <v/>
      </c>
      <c r="E71" s="12">
        <f>E70+H70*$B$6</f>
        <v/>
      </c>
      <c r="F71" s="12">
        <f>SQRT(D71^2+E71^2)</f>
        <v/>
      </c>
      <c r="G71" s="12">
        <f>IF(C71&gt;0,-($B$12/$B$10)*D71*F71,0)</f>
        <v/>
      </c>
      <c r="H71" s="12">
        <f>IF(C71&gt;0,-$B$5-($B$12/$B$10)*E71*F71,0)</f>
        <v/>
      </c>
      <c r="I71" s="12">
        <f>$B$3*COS(RADIANS($B$4))*A71</f>
        <v/>
      </c>
      <c r="J71" s="12">
        <f>MAX(0,($B$3*SIN(RADIANS($B$4))*A71)-(0.5*$B$5*A71^2))</f>
        <v/>
      </c>
    </row>
    <row r="72">
      <c r="A72" s="11">
        <f>A71+$B$6</f>
        <v/>
      </c>
      <c r="B72" s="11">
        <f>B71+D71*$B$6</f>
        <v/>
      </c>
      <c r="C72" s="11">
        <f>MAX(0,C71+E71*$B$6)</f>
        <v/>
      </c>
      <c r="D72" s="11">
        <f>D71+G71*$B$6</f>
        <v/>
      </c>
      <c r="E72" s="11">
        <f>E71+H71*$B$6</f>
        <v/>
      </c>
      <c r="F72" s="11">
        <f>SQRT(D72^2+E72^2)</f>
        <v/>
      </c>
      <c r="G72" s="11">
        <f>IF(C72&gt;0,-($B$12/$B$10)*D72*F72,0)</f>
        <v/>
      </c>
      <c r="H72" s="11">
        <f>IF(C72&gt;0,-$B$5-($B$12/$B$10)*E72*F72,0)</f>
        <v/>
      </c>
      <c r="I72" s="11">
        <f>$B$3*COS(RADIANS($B$4))*A72</f>
        <v/>
      </c>
      <c r="J72" s="11">
        <f>MAX(0,($B$3*SIN(RADIANS($B$4))*A72)-(0.5*$B$5*A72^2))</f>
        <v/>
      </c>
    </row>
    <row r="73">
      <c r="A73" s="12">
        <f>A72+$B$6</f>
        <v/>
      </c>
      <c r="B73" s="12">
        <f>B72+D72*$B$6</f>
        <v/>
      </c>
      <c r="C73" s="12">
        <f>MAX(0,C72+E72*$B$6)</f>
        <v/>
      </c>
      <c r="D73" s="12">
        <f>D72+G72*$B$6</f>
        <v/>
      </c>
      <c r="E73" s="12">
        <f>E72+H72*$B$6</f>
        <v/>
      </c>
      <c r="F73" s="12">
        <f>SQRT(D73^2+E73^2)</f>
        <v/>
      </c>
      <c r="G73" s="12">
        <f>IF(C73&gt;0,-($B$12/$B$10)*D73*F73,0)</f>
        <v/>
      </c>
      <c r="H73" s="12">
        <f>IF(C73&gt;0,-$B$5-($B$12/$B$10)*E73*F73,0)</f>
        <v/>
      </c>
      <c r="I73" s="12">
        <f>$B$3*COS(RADIANS($B$4))*A73</f>
        <v/>
      </c>
      <c r="J73" s="12">
        <f>MAX(0,($B$3*SIN(RADIANS($B$4))*A73)-(0.5*$B$5*A73^2))</f>
        <v/>
      </c>
    </row>
    <row r="74">
      <c r="A74" s="11">
        <f>A73+$B$6</f>
        <v/>
      </c>
      <c r="B74" s="11">
        <f>B73+D73*$B$6</f>
        <v/>
      </c>
      <c r="C74" s="11">
        <f>MAX(0,C73+E73*$B$6)</f>
        <v/>
      </c>
      <c r="D74" s="11">
        <f>D73+G73*$B$6</f>
        <v/>
      </c>
      <c r="E74" s="11">
        <f>E73+H73*$B$6</f>
        <v/>
      </c>
      <c r="F74" s="11">
        <f>SQRT(D74^2+E74^2)</f>
        <v/>
      </c>
      <c r="G74" s="11">
        <f>IF(C74&gt;0,-($B$12/$B$10)*D74*F74,0)</f>
        <v/>
      </c>
      <c r="H74" s="11">
        <f>IF(C74&gt;0,-$B$5-($B$12/$B$10)*E74*F74,0)</f>
        <v/>
      </c>
      <c r="I74" s="11">
        <f>$B$3*COS(RADIANS($B$4))*A74</f>
        <v/>
      </c>
      <c r="J74" s="11">
        <f>MAX(0,($B$3*SIN(RADIANS($B$4))*A74)-(0.5*$B$5*A74^2))</f>
        <v/>
      </c>
    </row>
    <row r="75">
      <c r="A75" s="12">
        <f>A74+$B$6</f>
        <v/>
      </c>
      <c r="B75" s="12">
        <f>B74+D74*$B$6</f>
        <v/>
      </c>
      <c r="C75" s="12">
        <f>MAX(0,C74+E74*$B$6)</f>
        <v/>
      </c>
      <c r="D75" s="12">
        <f>D74+G74*$B$6</f>
        <v/>
      </c>
      <c r="E75" s="12">
        <f>E74+H74*$B$6</f>
        <v/>
      </c>
      <c r="F75" s="12">
        <f>SQRT(D75^2+E75^2)</f>
        <v/>
      </c>
      <c r="G75" s="12">
        <f>IF(C75&gt;0,-($B$12/$B$10)*D75*F75,0)</f>
        <v/>
      </c>
      <c r="H75" s="12">
        <f>IF(C75&gt;0,-$B$5-($B$12/$B$10)*E75*F75,0)</f>
        <v/>
      </c>
      <c r="I75" s="12">
        <f>$B$3*COS(RADIANS($B$4))*A75</f>
        <v/>
      </c>
      <c r="J75" s="12">
        <f>MAX(0,($B$3*SIN(RADIANS($B$4))*A75)-(0.5*$B$5*A75^2))</f>
        <v/>
      </c>
    </row>
    <row r="76">
      <c r="A76" s="11">
        <f>A75+$B$6</f>
        <v/>
      </c>
      <c r="B76" s="11">
        <f>B75+D75*$B$6</f>
        <v/>
      </c>
      <c r="C76" s="11">
        <f>MAX(0,C75+E75*$B$6)</f>
        <v/>
      </c>
      <c r="D76" s="11">
        <f>D75+G75*$B$6</f>
        <v/>
      </c>
      <c r="E76" s="11">
        <f>E75+H75*$B$6</f>
        <v/>
      </c>
      <c r="F76" s="11">
        <f>SQRT(D76^2+E76^2)</f>
        <v/>
      </c>
      <c r="G76" s="11">
        <f>IF(C76&gt;0,-($B$12/$B$10)*D76*F76,0)</f>
        <v/>
      </c>
      <c r="H76" s="11">
        <f>IF(C76&gt;0,-$B$5-($B$12/$B$10)*E76*F76,0)</f>
        <v/>
      </c>
      <c r="I76" s="11">
        <f>$B$3*COS(RADIANS($B$4))*A76</f>
        <v/>
      </c>
      <c r="J76" s="11">
        <f>MAX(0,($B$3*SIN(RADIANS($B$4))*A76)-(0.5*$B$5*A76^2))</f>
        <v/>
      </c>
    </row>
    <row r="77">
      <c r="A77" s="12">
        <f>A76+$B$6</f>
        <v/>
      </c>
      <c r="B77" s="12">
        <f>B76+D76*$B$6</f>
        <v/>
      </c>
      <c r="C77" s="12">
        <f>MAX(0,C76+E76*$B$6)</f>
        <v/>
      </c>
      <c r="D77" s="12">
        <f>D76+G76*$B$6</f>
        <v/>
      </c>
      <c r="E77" s="12">
        <f>E76+H76*$B$6</f>
        <v/>
      </c>
      <c r="F77" s="12">
        <f>SQRT(D77^2+E77^2)</f>
        <v/>
      </c>
      <c r="G77" s="12">
        <f>IF(C77&gt;0,-($B$12/$B$10)*D77*F77,0)</f>
        <v/>
      </c>
      <c r="H77" s="12">
        <f>IF(C77&gt;0,-$B$5-($B$12/$B$10)*E77*F77,0)</f>
        <v/>
      </c>
      <c r="I77" s="12">
        <f>$B$3*COS(RADIANS($B$4))*A77</f>
        <v/>
      </c>
      <c r="J77" s="12">
        <f>MAX(0,($B$3*SIN(RADIANS($B$4))*A77)-(0.5*$B$5*A77^2))</f>
        <v/>
      </c>
    </row>
    <row r="78">
      <c r="A78" s="11">
        <f>A77+$B$6</f>
        <v/>
      </c>
      <c r="B78" s="11">
        <f>B77+D77*$B$6</f>
        <v/>
      </c>
      <c r="C78" s="11">
        <f>MAX(0,C77+E77*$B$6)</f>
        <v/>
      </c>
      <c r="D78" s="11">
        <f>D77+G77*$B$6</f>
        <v/>
      </c>
      <c r="E78" s="11">
        <f>E77+H77*$B$6</f>
        <v/>
      </c>
      <c r="F78" s="11">
        <f>SQRT(D78^2+E78^2)</f>
        <v/>
      </c>
      <c r="G78" s="11">
        <f>IF(C78&gt;0,-($B$12/$B$10)*D78*F78,0)</f>
        <v/>
      </c>
      <c r="H78" s="11">
        <f>IF(C78&gt;0,-$B$5-($B$12/$B$10)*E78*F78,0)</f>
        <v/>
      </c>
      <c r="I78" s="11">
        <f>$B$3*COS(RADIANS($B$4))*A78</f>
        <v/>
      </c>
      <c r="J78" s="11">
        <f>MAX(0,($B$3*SIN(RADIANS($B$4))*A78)-(0.5*$B$5*A78^2))</f>
        <v/>
      </c>
    </row>
    <row r="79">
      <c r="A79" s="12">
        <f>A78+$B$6</f>
        <v/>
      </c>
      <c r="B79" s="12">
        <f>B78+D78*$B$6</f>
        <v/>
      </c>
      <c r="C79" s="12">
        <f>MAX(0,C78+E78*$B$6)</f>
        <v/>
      </c>
      <c r="D79" s="12">
        <f>D78+G78*$B$6</f>
        <v/>
      </c>
      <c r="E79" s="12">
        <f>E78+H78*$B$6</f>
        <v/>
      </c>
      <c r="F79" s="12">
        <f>SQRT(D79^2+E79^2)</f>
        <v/>
      </c>
      <c r="G79" s="12">
        <f>IF(C79&gt;0,-($B$12/$B$10)*D79*F79,0)</f>
        <v/>
      </c>
      <c r="H79" s="12">
        <f>IF(C79&gt;0,-$B$5-($B$12/$B$10)*E79*F79,0)</f>
        <v/>
      </c>
      <c r="I79" s="12">
        <f>$B$3*COS(RADIANS($B$4))*A79</f>
        <v/>
      </c>
      <c r="J79" s="12">
        <f>MAX(0,($B$3*SIN(RADIANS($B$4))*A79)-(0.5*$B$5*A79^2))</f>
        <v/>
      </c>
    </row>
    <row r="80">
      <c r="A80" s="11">
        <f>A79+$B$6</f>
        <v/>
      </c>
      <c r="B80" s="11">
        <f>B79+D79*$B$6</f>
        <v/>
      </c>
      <c r="C80" s="11">
        <f>MAX(0,C79+E79*$B$6)</f>
        <v/>
      </c>
      <c r="D80" s="11">
        <f>D79+G79*$B$6</f>
        <v/>
      </c>
      <c r="E80" s="11">
        <f>E79+H79*$B$6</f>
        <v/>
      </c>
      <c r="F80" s="11">
        <f>SQRT(D80^2+E80^2)</f>
        <v/>
      </c>
      <c r="G80" s="11">
        <f>IF(C80&gt;0,-($B$12/$B$10)*D80*F80,0)</f>
        <v/>
      </c>
      <c r="H80" s="11">
        <f>IF(C80&gt;0,-$B$5-($B$12/$B$10)*E80*F80,0)</f>
        <v/>
      </c>
      <c r="I80" s="11">
        <f>$B$3*COS(RADIANS($B$4))*A80</f>
        <v/>
      </c>
      <c r="J80" s="11">
        <f>MAX(0,($B$3*SIN(RADIANS($B$4))*A80)-(0.5*$B$5*A80^2))</f>
        <v/>
      </c>
    </row>
    <row r="81">
      <c r="A81" s="12">
        <f>A80+$B$6</f>
        <v/>
      </c>
      <c r="B81" s="12">
        <f>B80+D80*$B$6</f>
        <v/>
      </c>
      <c r="C81" s="12">
        <f>MAX(0,C80+E80*$B$6)</f>
        <v/>
      </c>
      <c r="D81" s="12">
        <f>D80+G80*$B$6</f>
        <v/>
      </c>
      <c r="E81" s="12">
        <f>E80+H80*$B$6</f>
        <v/>
      </c>
      <c r="F81" s="12">
        <f>SQRT(D81^2+E81^2)</f>
        <v/>
      </c>
      <c r="G81" s="12">
        <f>IF(C81&gt;0,-($B$12/$B$10)*D81*F81,0)</f>
        <v/>
      </c>
      <c r="H81" s="12">
        <f>IF(C81&gt;0,-$B$5-($B$12/$B$10)*E81*F81,0)</f>
        <v/>
      </c>
      <c r="I81" s="12">
        <f>$B$3*COS(RADIANS($B$4))*A81</f>
        <v/>
      </c>
      <c r="J81" s="12">
        <f>MAX(0,($B$3*SIN(RADIANS($B$4))*A81)-(0.5*$B$5*A81^2))</f>
        <v/>
      </c>
    </row>
    <row r="82">
      <c r="A82" s="11">
        <f>A81+$B$6</f>
        <v/>
      </c>
      <c r="B82" s="11">
        <f>B81+D81*$B$6</f>
        <v/>
      </c>
      <c r="C82" s="11">
        <f>MAX(0,C81+E81*$B$6)</f>
        <v/>
      </c>
      <c r="D82" s="11">
        <f>D81+G81*$B$6</f>
        <v/>
      </c>
      <c r="E82" s="11">
        <f>E81+H81*$B$6</f>
        <v/>
      </c>
      <c r="F82" s="11">
        <f>SQRT(D82^2+E82^2)</f>
        <v/>
      </c>
      <c r="G82" s="11">
        <f>IF(C82&gt;0,-($B$12/$B$10)*D82*F82,0)</f>
        <v/>
      </c>
      <c r="H82" s="11">
        <f>IF(C82&gt;0,-$B$5-($B$12/$B$10)*E82*F82,0)</f>
        <v/>
      </c>
      <c r="I82" s="11">
        <f>$B$3*COS(RADIANS($B$4))*A82</f>
        <v/>
      </c>
      <c r="J82" s="11">
        <f>MAX(0,($B$3*SIN(RADIANS($B$4))*A82)-(0.5*$B$5*A82^2))</f>
        <v/>
      </c>
    </row>
    <row r="83">
      <c r="A83" s="12">
        <f>A82+$B$6</f>
        <v/>
      </c>
      <c r="B83" s="12">
        <f>B82+D82*$B$6</f>
        <v/>
      </c>
      <c r="C83" s="12">
        <f>MAX(0,C82+E82*$B$6)</f>
        <v/>
      </c>
      <c r="D83" s="12">
        <f>D82+G82*$B$6</f>
        <v/>
      </c>
      <c r="E83" s="12">
        <f>E82+H82*$B$6</f>
        <v/>
      </c>
      <c r="F83" s="12">
        <f>SQRT(D83^2+E83^2)</f>
        <v/>
      </c>
      <c r="G83" s="12">
        <f>IF(C83&gt;0,-($B$12/$B$10)*D83*F83,0)</f>
        <v/>
      </c>
      <c r="H83" s="12">
        <f>IF(C83&gt;0,-$B$5-($B$12/$B$10)*E83*F83,0)</f>
        <v/>
      </c>
      <c r="I83" s="12">
        <f>$B$3*COS(RADIANS($B$4))*A83</f>
        <v/>
      </c>
      <c r="J83" s="12">
        <f>MAX(0,($B$3*SIN(RADIANS($B$4))*A83)-(0.5*$B$5*A83^2))</f>
        <v/>
      </c>
    </row>
    <row r="84">
      <c r="A84" s="11">
        <f>A83+$B$6</f>
        <v/>
      </c>
      <c r="B84" s="11">
        <f>B83+D83*$B$6</f>
        <v/>
      </c>
      <c r="C84" s="11">
        <f>MAX(0,C83+E83*$B$6)</f>
        <v/>
      </c>
      <c r="D84" s="11">
        <f>D83+G83*$B$6</f>
        <v/>
      </c>
      <c r="E84" s="11">
        <f>E83+H83*$B$6</f>
        <v/>
      </c>
      <c r="F84" s="11">
        <f>SQRT(D84^2+E84^2)</f>
        <v/>
      </c>
      <c r="G84" s="11">
        <f>IF(C84&gt;0,-($B$12/$B$10)*D84*F84,0)</f>
        <v/>
      </c>
      <c r="H84" s="11">
        <f>IF(C84&gt;0,-$B$5-($B$12/$B$10)*E84*F84,0)</f>
        <v/>
      </c>
      <c r="I84" s="11">
        <f>$B$3*COS(RADIANS($B$4))*A84</f>
        <v/>
      </c>
      <c r="J84" s="11">
        <f>MAX(0,($B$3*SIN(RADIANS($B$4))*A84)-(0.5*$B$5*A84^2))</f>
        <v/>
      </c>
    </row>
    <row r="85">
      <c r="A85" s="12">
        <f>A84+$B$6</f>
        <v/>
      </c>
      <c r="B85" s="12">
        <f>B84+D84*$B$6</f>
        <v/>
      </c>
      <c r="C85" s="12">
        <f>MAX(0,C84+E84*$B$6)</f>
        <v/>
      </c>
      <c r="D85" s="12">
        <f>D84+G84*$B$6</f>
        <v/>
      </c>
      <c r="E85" s="12">
        <f>E84+H84*$B$6</f>
        <v/>
      </c>
      <c r="F85" s="12">
        <f>SQRT(D85^2+E85^2)</f>
        <v/>
      </c>
      <c r="G85" s="12">
        <f>IF(C85&gt;0,-($B$12/$B$10)*D85*F85,0)</f>
        <v/>
      </c>
      <c r="H85" s="12">
        <f>IF(C85&gt;0,-$B$5-($B$12/$B$10)*E85*F85,0)</f>
        <v/>
      </c>
      <c r="I85" s="12">
        <f>$B$3*COS(RADIANS($B$4))*A85</f>
        <v/>
      </c>
      <c r="J85" s="12">
        <f>MAX(0,($B$3*SIN(RADIANS($B$4))*A85)-(0.5*$B$5*A85^2))</f>
        <v/>
      </c>
    </row>
    <row r="86">
      <c r="A86" s="11">
        <f>A85+$B$6</f>
        <v/>
      </c>
      <c r="B86" s="11">
        <f>B85+D85*$B$6</f>
        <v/>
      </c>
      <c r="C86" s="11">
        <f>MAX(0,C85+E85*$B$6)</f>
        <v/>
      </c>
      <c r="D86" s="11">
        <f>D85+G85*$B$6</f>
        <v/>
      </c>
      <c r="E86" s="11">
        <f>E85+H85*$B$6</f>
        <v/>
      </c>
      <c r="F86" s="11">
        <f>SQRT(D86^2+E86^2)</f>
        <v/>
      </c>
      <c r="G86" s="11">
        <f>IF(C86&gt;0,-($B$12/$B$10)*D86*F86,0)</f>
        <v/>
      </c>
      <c r="H86" s="11">
        <f>IF(C86&gt;0,-$B$5-($B$12/$B$10)*E86*F86,0)</f>
        <v/>
      </c>
      <c r="I86" s="11">
        <f>$B$3*COS(RADIANS($B$4))*A86</f>
        <v/>
      </c>
      <c r="J86" s="11">
        <f>MAX(0,($B$3*SIN(RADIANS($B$4))*A86)-(0.5*$B$5*A86^2))</f>
        <v/>
      </c>
    </row>
    <row r="87">
      <c r="A87" s="12">
        <f>A86+$B$6</f>
        <v/>
      </c>
      <c r="B87" s="12">
        <f>B86+D86*$B$6</f>
        <v/>
      </c>
      <c r="C87" s="12">
        <f>MAX(0,C86+E86*$B$6)</f>
        <v/>
      </c>
      <c r="D87" s="12">
        <f>D86+G86*$B$6</f>
        <v/>
      </c>
      <c r="E87" s="12">
        <f>E86+H86*$B$6</f>
        <v/>
      </c>
      <c r="F87" s="12">
        <f>SQRT(D87^2+E87^2)</f>
        <v/>
      </c>
      <c r="G87" s="12">
        <f>IF(C87&gt;0,-($B$12/$B$10)*D87*F87,0)</f>
        <v/>
      </c>
      <c r="H87" s="12">
        <f>IF(C87&gt;0,-$B$5-($B$12/$B$10)*E87*F87,0)</f>
        <v/>
      </c>
      <c r="I87" s="12">
        <f>$B$3*COS(RADIANS($B$4))*A87</f>
        <v/>
      </c>
      <c r="J87" s="12">
        <f>MAX(0,($B$3*SIN(RADIANS($B$4))*A87)-(0.5*$B$5*A87^2))</f>
        <v/>
      </c>
    </row>
    <row r="88">
      <c r="A88" s="11">
        <f>A87+$B$6</f>
        <v/>
      </c>
      <c r="B88" s="11">
        <f>B87+D87*$B$6</f>
        <v/>
      </c>
      <c r="C88" s="11">
        <f>MAX(0,C87+E87*$B$6)</f>
        <v/>
      </c>
      <c r="D88" s="11">
        <f>D87+G87*$B$6</f>
        <v/>
      </c>
      <c r="E88" s="11">
        <f>E87+H87*$B$6</f>
        <v/>
      </c>
      <c r="F88" s="11">
        <f>SQRT(D88^2+E88^2)</f>
        <v/>
      </c>
      <c r="G88" s="11">
        <f>IF(C88&gt;0,-($B$12/$B$10)*D88*F88,0)</f>
        <v/>
      </c>
      <c r="H88" s="11">
        <f>IF(C88&gt;0,-$B$5-($B$12/$B$10)*E88*F88,0)</f>
        <v/>
      </c>
      <c r="I88" s="11">
        <f>$B$3*COS(RADIANS($B$4))*A88</f>
        <v/>
      </c>
      <c r="J88" s="11">
        <f>MAX(0,($B$3*SIN(RADIANS($B$4))*A88)-(0.5*$B$5*A88^2))</f>
        <v/>
      </c>
    </row>
    <row r="89">
      <c r="A89" s="12">
        <f>A88+$B$6</f>
        <v/>
      </c>
      <c r="B89" s="12">
        <f>B88+D88*$B$6</f>
        <v/>
      </c>
      <c r="C89" s="12">
        <f>MAX(0,C88+E88*$B$6)</f>
        <v/>
      </c>
      <c r="D89" s="12">
        <f>D88+G88*$B$6</f>
        <v/>
      </c>
      <c r="E89" s="12">
        <f>E88+H88*$B$6</f>
        <v/>
      </c>
      <c r="F89" s="12">
        <f>SQRT(D89^2+E89^2)</f>
        <v/>
      </c>
      <c r="G89" s="12">
        <f>IF(C89&gt;0,-($B$12/$B$10)*D89*F89,0)</f>
        <v/>
      </c>
      <c r="H89" s="12">
        <f>IF(C89&gt;0,-$B$5-($B$12/$B$10)*E89*F89,0)</f>
        <v/>
      </c>
      <c r="I89" s="12">
        <f>$B$3*COS(RADIANS($B$4))*A89</f>
        <v/>
      </c>
      <c r="J89" s="12">
        <f>MAX(0,($B$3*SIN(RADIANS($B$4))*A89)-(0.5*$B$5*A89^2))</f>
        <v/>
      </c>
    </row>
    <row r="90">
      <c r="A90" s="11">
        <f>A89+$B$6</f>
        <v/>
      </c>
      <c r="B90" s="11">
        <f>B89+D89*$B$6</f>
        <v/>
      </c>
      <c r="C90" s="11">
        <f>MAX(0,C89+E89*$B$6)</f>
        <v/>
      </c>
      <c r="D90" s="11">
        <f>D89+G89*$B$6</f>
        <v/>
      </c>
      <c r="E90" s="11">
        <f>E89+H89*$B$6</f>
        <v/>
      </c>
      <c r="F90" s="11">
        <f>SQRT(D90^2+E90^2)</f>
        <v/>
      </c>
      <c r="G90" s="11">
        <f>IF(C90&gt;0,-($B$12/$B$10)*D90*F90,0)</f>
        <v/>
      </c>
      <c r="H90" s="11">
        <f>IF(C90&gt;0,-$B$5-($B$12/$B$10)*E90*F90,0)</f>
        <v/>
      </c>
      <c r="I90" s="11">
        <f>$B$3*COS(RADIANS($B$4))*A90</f>
        <v/>
      </c>
      <c r="J90" s="11">
        <f>MAX(0,($B$3*SIN(RADIANS($B$4))*A90)-(0.5*$B$5*A90^2))</f>
        <v/>
      </c>
    </row>
    <row r="91">
      <c r="A91" s="12">
        <f>A90+$B$6</f>
        <v/>
      </c>
      <c r="B91" s="12">
        <f>B90+D90*$B$6</f>
        <v/>
      </c>
      <c r="C91" s="12">
        <f>MAX(0,C90+E90*$B$6)</f>
        <v/>
      </c>
      <c r="D91" s="12">
        <f>D90+G90*$B$6</f>
        <v/>
      </c>
      <c r="E91" s="12">
        <f>E90+H90*$B$6</f>
        <v/>
      </c>
      <c r="F91" s="12">
        <f>SQRT(D91^2+E91^2)</f>
        <v/>
      </c>
      <c r="G91" s="12">
        <f>IF(C91&gt;0,-($B$12/$B$10)*D91*F91,0)</f>
        <v/>
      </c>
      <c r="H91" s="12">
        <f>IF(C91&gt;0,-$B$5-($B$12/$B$10)*E91*F91,0)</f>
        <v/>
      </c>
      <c r="I91" s="12">
        <f>$B$3*COS(RADIANS($B$4))*A91</f>
        <v/>
      </c>
      <c r="J91" s="12">
        <f>MAX(0,($B$3*SIN(RADIANS($B$4))*A91)-(0.5*$B$5*A91^2))</f>
        <v/>
      </c>
    </row>
    <row r="92">
      <c r="A92" s="11">
        <f>A91+$B$6</f>
        <v/>
      </c>
      <c r="B92" s="11">
        <f>B91+D91*$B$6</f>
        <v/>
      </c>
      <c r="C92" s="11">
        <f>MAX(0,C91+E91*$B$6)</f>
        <v/>
      </c>
      <c r="D92" s="11">
        <f>D91+G91*$B$6</f>
        <v/>
      </c>
      <c r="E92" s="11">
        <f>E91+H91*$B$6</f>
        <v/>
      </c>
      <c r="F92" s="11">
        <f>SQRT(D92^2+E92^2)</f>
        <v/>
      </c>
      <c r="G92" s="11">
        <f>IF(C92&gt;0,-($B$12/$B$10)*D92*F92,0)</f>
        <v/>
      </c>
      <c r="H92" s="11">
        <f>IF(C92&gt;0,-$B$5-($B$12/$B$10)*E92*F92,0)</f>
        <v/>
      </c>
      <c r="I92" s="11">
        <f>$B$3*COS(RADIANS($B$4))*A92</f>
        <v/>
      </c>
      <c r="J92" s="11">
        <f>MAX(0,($B$3*SIN(RADIANS($B$4))*A92)-(0.5*$B$5*A92^2))</f>
        <v/>
      </c>
    </row>
    <row r="93">
      <c r="A93" s="12">
        <f>A92+$B$6</f>
        <v/>
      </c>
      <c r="B93" s="12">
        <f>B92+D92*$B$6</f>
        <v/>
      </c>
      <c r="C93" s="12">
        <f>MAX(0,C92+E92*$B$6)</f>
        <v/>
      </c>
      <c r="D93" s="12">
        <f>D92+G92*$B$6</f>
        <v/>
      </c>
      <c r="E93" s="12">
        <f>E92+H92*$B$6</f>
        <v/>
      </c>
      <c r="F93" s="12">
        <f>SQRT(D93^2+E93^2)</f>
        <v/>
      </c>
      <c r="G93" s="12">
        <f>IF(C93&gt;0,-($B$12/$B$10)*D93*F93,0)</f>
        <v/>
      </c>
      <c r="H93" s="12">
        <f>IF(C93&gt;0,-$B$5-($B$12/$B$10)*E93*F93,0)</f>
        <v/>
      </c>
      <c r="I93" s="12">
        <f>$B$3*COS(RADIANS($B$4))*A93</f>
        <v/>
      </c>
      <c r="J93" s="12">
        <f>MAX(0,($B$3*SIN(RADIANS($B$4))*A93)-(0.5*$B$5*A93^2))</f>
        <v/>
      </c>
    </row>
    <row r="94">
      <c r="A94" s="11">
        <f>A93+$B$6</f>
        <v/>
      </c>
      <c r="B94" s="11">
        <f>B93+D93*$B$6</f>
        <v/>
      </c>
      <c r="C94" s="11">
        <f>MAX(0,C93+E93*$B$6)</f>
        <v/>
      </c>
      <c r="D94" s="11">
        <f>D93+G93*$B$6</f>
        <v/>
      </c>
      <c r="E94" s="11">
        <f>E93+H93*$B$6</f>
        <v/>
      </c>
      <c r="F94" s="11">
        <f>SQRT(D94^2+E94^2)</f>
        <v/>
      </c>
      <c r="G94" s="11">
        <f>IF(C94&gt;0,-($B$12/$B$10)*D94*F94,0)</f>
        <v/>
      </c>
      <c r="H94" s="11">
        <f>IF(C94&gt;0,-$B$5-($B$12/$B$10)*E94*F94,0)</f>
        <v/>
      </c>
      <c r="I94" s="11">
        <f>$B$3*COS(RADIANS($B$4))*A94</f>
        <v/>
      </c>
      <c r="J94" s="11">
        <f>MAX(0,($B$3*SIN(RADIANS($B$4))*A94)-(0.5*$B$5*A94^2))</f>
        <v/>
      </c>
    </row>
    <row r="95">
      <c r="A95" s="12">
        <f>A94+$B$6</f>
        <v/>
      </c>
      <c r="B95" s="12">
        <f>B94+D94*$B$6</f>
        <v/>
      </c>
      <c r="C95" s="12">
        <f>MAX(0,C94+E94*$B$6)</f>
        <v/>
      </c>
      <c r="D95" s="12">
        <f>D94+G94*$B$6</f>
        <v/>
      </c>
      <c r="E95" s="12">
        <f>E94+H94*$B$6</f>
        <v/>
      </c>
      <c r="F95" s="12">
        <f>SQRT(D95^2+E95^2)</f>
        <v/>
      </c>
      <c r="G95" s="12">
        <f>IF(C95&gt;0,-($B$12/$B$10)*D95*F95,0)</f>
        <v/>
      </c>
      <c r="H95" s="12">
        <f>IF(C95&gt;0,-$B$5-($B$12/$B$10)*E95*F95,0)</f>
        <v/>
      </c>
      <c r="I95" s="12">
        <f>$B$3*COS(RADIANS($B$4))*A95</f>
        <v/>
      </c>
      <c r="J95" s="12">
        <f>MAX(0,($B$3*SIN(RADIANS($B$4))*A95)-(0.5*$B$5*A95^2))</f>
        <v/>
      </c>
    </row>
    <row r="96">
      <c r="A96" s="11">
        <f>A95+$B$6</f>
        <v/>
      </c>
      <c r="B96" s="11">
        <f>B95+D95*$B$6</f>
        <v/>
      </c>
      <c r="C96" s="11">
        <f>MAX(0,C95+E95*$B$6)</f>
        <v/>
      </c>
      <c r="D96" s="11">
        <f>D95+G95*$B$6</f>
        <v/>
      </c>
      <c r="E96" s="11">
        <f>E95+H95*$B$6</f>
        <v/>
      </c>
      <c r="F96" s="11">
        <f>SQRT(D96^2+E96^2)</f>
        <v/>
      </c>
      <c r="G96" s="11">
        <f>IF(C96&gt;0,-($B$12/$B$10)*D96*F96,0)</f>
        <v/>
      </c>
      <c r="H96" s="11">
        <f>IF(C96&gt;0,-$B$5-($B$12/$B$10)*E96*F96,0)</f>
        <v/>
      </c>
      <c r="I96" s="11">
        <f>$B$3*COS(RADIANS($B$4))*A96</f>
        <v/>
      </c>
      <c r="J96" s="11">
        <f>MAX(0,($B$3*SIN(RADIANS($B$4))*A96)-(0.5*$B$5*A96^2))</f>
        <v/>
      </c>
    </row>
    <row r="97">
      <c r="A97" s="12">
        <f>A96+$B$6</f>
        <v/>
      </c>
      <c r="B97" s="12">
        <f>B96+D96*$B$6</f>
        <v/>
      </c>
      <c r="C97" s="12">
        <f>MAX(0,C96+E96*$B$6)</f>
        <v/>
      </c>
      <c r="D97" s="12">
        <f>D96+G96*$B$6</f>
        <v/>
      </c>
      <c r="E97" s="12">
        <f>E96+H96*$B$6</f>
        <v/>
      </c>
      <c r="F97" s="12">
        <f>SQRT(D97^2+E97^2)</f>
        <v/>
      </c>
      <c r="G97" s="12">
        <f>IF(C97&gt;0,-($B$12/$B$10)*D97*F97,0)</f>
        <v/>
      </c>
      <c r="H97" s="12">
        <f>IF(C97&gt;0,-$B$5-($B$12/$B$10)*E97*F97,0)</f>
        <v/>
      </c>
      <c r="I97" s="12">
        <f>$B$3*COS(RADIANS($B$4))*A97</f>
        <v/>
      </c>
      <c r="J97" s="12">
        <f>MAX(0,($B$3*SIN(RADIANS($B$4))*A97)-(0.5*$B$5*A97^2))</f>
        <v/>
      </c>
    </row>
    <row r="98">
      <c r="A98" s="11">
        <f>A97+$B$6</f>
        <v/>
      </c>
      <c r="B98" s="11">
        <f>B97+D97*$B$6</f>
        <v/>
      </c>
      <c r="C98" s="11">
        <f>MAX(0,C97+E97*$B$6)</f>
        <v/>
      </c>
      <c r="D98" s="11">
        <f>D97+G97*$B$6</f>
        <v/>
      </c>
      <c r="E98" s="11">
        <f>E97+H97*$B$6</f>
        <v/>
      </c>
      <c r="F98" s="11">
        <f>SQRT(D98^2+E98^2)</f>
        <v/>
      </c>
      <c r="G98" s="11">
        <f>IF(C98&gt;0,-($B$12/$B$10)*D98*F98,0)</f>
        <v/>
      </c>
      <c r="H98" s="11">
        <f>IF(C98&gt;0,-$B$5-($B$12/$B$10)*E98*F98,0)</f>
        <v/>
      </c>
      <c r="I98" s="11">
        <f>$B$3*COS(RADIANS($B$4))*A98</f>
        <v/>
      </c>
      <c r="J98" s="11">
        <f>MAX(0,($B$3*SIN(RADIANS($B$4))*A98)-(0.5*$B$5*A98^2))</f>
        <v/>
      </c>
    </row>
    <row r="99">
      <c r="A99" s="12">
        <f>A98+$B$6</f>
        <v/>
      </c>
      <c r="B99" s="12">
        <f>B98+D98*$B$6</f>
        <v/>
      </c>
      <c r="C99" s="12">
        <f>MAX(0,C98+E98*$B$6)</f>
        <v/>
      </c>
      <c r="D99" s="12">
        <f>D98+G98*$B$6</f>
        <v/>
      </c>
      <c r="E99" s="12">
        <f>E98+H98*$B$6</f>
        <v/>
      </c>
      <c r="F99" s="12">
        <f>SQRT(D99^2+E99^2)</f>
        <v/>
      </c>
      <c r="G99" s="12">
        <f>IF(C99&gt;0,-($B$12/$B$10)*D99*F99,0)</f>
        <v/>
      </c>
      <c r="H99" s="12">
        <f>IF(C99&gt;0,-$B$5-($B$12/$B$10)*E99*F99,0)</f>
        <v/>
      </c>
      <c r="I99" s="12">
        <f>$B$3*COS(RADIANS($B$4))*A99</f>
        <v/>
      </c>
      <c r="J99" s="12">
        <f>MAX(0,($B$3*SIN(RADIANS($B$4))*A99)-(0.5*$B$5*A99^2))</f>
        <v/>
      </c>
    </row>
    <row r="100">
      <c r="A100" s="11">
        <f>A99+$B$6</f>
        <v/>
      </c>
      <c r="B100" s="11">
        <f>B99+D99*$B$6</f>
        <v/>
      </c>
      <c r="C100" s="11">
        <f>MAX(0,C99+E99*$B$6)</f>
        <v/>
      </c>
      <c r="D100" s="11">
        <f>D99+G99*$B$6</f>
        <v/>
      </c>
      <c r="E100" s="11">
        <f>E99+H99*$B$6</f>
        <v/>
      </c>
      <c r="F100" s="11">
        <f>SQRT(D100^2+E100^2)</f>
        <v/>
      </c>
      <c r="G100" s="11">
        <f>IF(C100&gt;0,-($B$12/$B$10)*D100*F100,0)</f>
        <v/>
      </c>
      <c r="H100" s="11">
        <f>IF(C100&gt;0,-$B$5-($B$12/$B$10)*E100*F100,0)</f>
        <v/>
      </c>
      <c r="I100" s="11">
        <f>$B$3*COS(RADIANS($B$4))*A100</f>
        <v/>
      </c>
      <c r="J100" s="11">
        <f>MAX(0,($B$3*SIN(RADIANS($B$4))*A100)-(0.5*$B$5*A100^2))</f>
        <v/>
      </c>
    </row>
    <row r="101">
      <c r="A101" s="12">
        <f>A100+$B$6</f>
        <v/>
      </c>
      <c r="B101" s="12">
        <f>B100+D100*$B$6</f>
        <v/>
      </c>
      <c r="C101" s="12">
        <f>MAX(0,C100+E100*$B$6)</f>
        <v/>
      </c>
      <c r="D101" s="12">
        <f>D100+G100*$B$6</f>
        <v/>
      </c>
      <c r="E101" s="12">
        <f>E100+H100*$B$6</f>
        <v/>
      </c>
      <c r="F101" s="12">
        <f>SQRT(D101^2+E101^2)</f>
        <v/>
      </c>
      <c r="G101" s="12">
        <f>IF(C101&gt;0,-($B$12/$B$10)*D101*F101,0)</f>
        <v/>
      </c>
      <c r="H101" s="12">
        <f>IF(C101&gt;0,-$B$5-($B$12/$B$10)*E101*F101,0)</f>
        <v/>
      </c>
      <c r="I101" s="12">
        <f>$B$3*COS(RADIANS($B$4))*A101</f>
        <v/>
      </c>
      <c r="J101" s="12">
        <f>MAX(0,($B$3*SIN(RADIANS($B$4))*A101)-(0.5*$B$5*A101^2))</f>
        <v/>
      </c>
    </row>
    <row r="102">
      <c r="A102" s="11">
        <f>A101+$B$6</f>
        <v/>
      </c>
      <c r="B102" s="11">
        <f>B101+D101*$B$6</f>
        <v/>
      </c>
      <c r="C102" s="11">
        <f>MAX(0,C101+E101*$B$6)</f>
        <v/>
      </c>
      <c r="D102" s="11">
        <f>D101+G101*$B$6</f>
        <v/>
      </c>
      <c r="E102" s="11">
        <f>E101+H101*$B$6</f>
        <v/>
      </c>
      <c r="F102" s="11">
        <f>SQRT(D102^2+E102^2)</f>
        <v/>
      </c>
      <c r="G102" s="11">
        <f>IF(C102&gt;0,-($B$12/$B$10)*D102*F102,0)</f>
        <v/>
      </c>
      <c r="H102" s="11">
        <f>IF(C102&gt;0,-$B$5-($B$12/$B$10)*E102*F102,0)</f>
        <v/>
      </c>
      <c r="I102" s="11">
        <f>$B$3*COS(RADIANS($B$4))*A102</f>
        <v/>
      </c>
      <c r="J102" s="11">
        <f>MAX(0,($B$3*SIN(RADIANS($B$4))*A102)-(0.5*$B$5*A102^2))</f>
        <v/>
      </c>
    </row>
    <row r="103">
      <c r="A103" s="12">
        <f>A102+$B$6</f>
        <v/>
      </c>
      <c r="B103" s="12">
        <f>B102+D102*$B$6</f>
        <v/>
      </c>
      <c r="C103" s="12">
        <f>MAX(0,C102+E102*$B$6)</f>
        <v/>
      </c>
      <c r="D103" s="12">
        <f>D102+G102*$B$6</f>
        <v/>
      </c>
      <c r="E103" s="12">
        <f>E102+H102*$B$6</f>
        <v/>
      </c>
      <c r="F103" s="12">
        <f>SQRT(D103^2+E103^2)</f>
        <v/>
      </c>
      <c r="G103" s="12">
        <f>IF(C103&gt;0,-($B$12/$B$10)*D103*F103,0)</f>
        <v/>
      </c>
      <c r="H103" s="12">
        <f>IF(C103&gt;0,-$B$5-($B$12/$B$10)*E103*F103,0)</f>
        <v/>
      </c>
      <c r="I103" s="12">
        <f>$B$3*COS(RADIANS($B$4))*A103</f>
        <v/>
      </c>
      <c r="J103" s="12">
        <f>MAX(0,($B$3*SIN(RADIANS($B$4))*A103)-(0.5*$B$5*A103^2))</f>
        <v/>
      </c>
    </row>
    <row r="104">
      <c r="A104" s="11">
        <f>A103+$B$6</f>
        <v/>
      </c>
      <c r="B104" s="11">
        <f>B103+D103*$B$6</f>
        <v/>
      </c>
      <c r="C104" s="11">
        <f>MAX(0,C103+E103*$B$6)</f>
        <v/>
      </c>
      <c r="D104" s="11">
        <f>D103+G103*$B$6</f>
        <v/>
      </c>
      <c r="E104" s="11">
        <f>E103+H103*$B$6</f>
        <v/>
      </c>
      <c r="F104" s="11">
        <f>SQRT(D104^2+E104^2)</f>
        <v/>
      </c>
      <c r="G104" s="11">
        <f>IF(C104&gt;0,-($B$12/$B$10)*D104*F104,0)</f>
        <v/>
      </c>
      <c r="H104" s="11">
        <f>IF(C104&gt;0,-$B$5-($B$12/$B$10)*E104*F104,0)</f>
        <v/>
      </c>
      <c r="I104" s="11">
        <f>$B$3*COS(RADIANS($B$4))*A104</f>
        <v/>
      </c>
      <c r="J104" s="11">
        <f>MAX(0,($B$3*SIN(RADIANS($B$4))*A104)-(0.5*$B$5*A104^2))</f>
        <v/>
      </c>
    </row>
    <row r="105">
      <c r="A105" s="12">
        <f>A104+$B$6</f>
        <v/>
      </c>
      <c r="B105" s="12">
        <f>B104+D104*$B$6</f>
        <v/>
      </c>
      <c r="C105" s="12">
        <f>MAX(0,C104+E104*$B$6)</f>
        <v/>
      </c>
      <c r="D105" s="12">
        <f>D104+G104*$B$6</f>
        <v/>
      </c>
      <c r="E105" s="12">
        <f>E104+H104*$B$6</f>
        <v/>
      </c>
      <c r="F105" s="12">
        <f>SQRT(D105^2+E105^2)</f>
        <v/>
      </c>
      <c r="G105" s="12">
        <f>IF(C105&gt;0,-($B$12/$B$10)*D105*F105,0)</f>
        <v/>
      </c>
      <c r="H105" s="12">
        <f>IF(C105&gt;0,-$B$5-($B$12/$B$10)*E105*F105,0)</f>
        <v/>
      </c>
      <c r="I105" s="12">
        <f>$B$3*COS(RADIANS($B$4))*A105</f>
        <v/>
      </c>
      <c r="J105" s="12">
        <f>MAX(0,($B$3*SIN(RADIANS($B$4))*A105)-(0.5*$B$5*A105^2))</f>
        <v/>
      </c>
    </row>
    <row r="106">
      <c r="A106" s="11">
        <f>A105+$B$6</f>
        <v/>
      </c>
      <c r="B106" s="11">
        <f>B105+D105*$B$6</f>
        <v/>
      </c>
      <c r="C106" s="11">
        <f>MAX(0,C105+E105*$B$6)</f>
        <v/>
      </c>
      <c r="D106" s="11">
        <f>D105+G105*$B$6</f>
        <v/>
      </c>
      <c r="E106" s="11">
        <f>E105+H105*$B$6</f>
        <v/>
      </c>
      <c r="F106" s="11">
        <f>SQRT(D106^2+E106^2)</f>
        <v/>
      </c>
      <c r="G106" s="11">
        <f>IF(C106&gt;0,-($B$12/$B$10)*D106*F106,0)</f>
        <v/>
      </c>
      <c r="H106" s="11">
        <f>IF(C106&gt;0,-$B$5-($B$12/$B$10)*E106*F106,0)</f>
        <v/>
      </c>
      <c r="I106" s="11">
        <f>$B$3*COS(RADIANS($B$4))*A106</f>
        <v/>
      </c>
      <c r="J106" s="11">
        <f>MAX(0,($B$3*SIN(RADIANS($B$4))*A106)-(0.5*$B$5*A106^2))</f>
        <v/>
      </c>
    </row>
    <row r="107">
      <c r="A107" s="12">
        <f>A106+$B$6</f>
        <v/>
      </c>
      <c r="B107" s="12">
        <f>B106+D106*$B$6</f>
        <v/>
      </c>
      <c r="C107" s="12">
        <f>MAX(0,C106+E106*$B$6)</f>
        <v/>
      </c>
      <c r="D107" s="12">
        <f>D106+G106*$B$6</f>
        <v/>
      </c>
      <c r="E107" s="12">
        <f>E106+H106*$B$6</f>
        <v/>
      </c>
      <c r="F107" s="12">
        <f>SQRT(D107^2+E107^2)</f>
        <v/>
      </c>
      <c r="G107" s="12">
        <f>IF(C107&gt;0,-($B$12/$B$10)*D107*F107,0)</f>
        <v/>
      </c>
      <c r="H107" s="12">
        <f>IF(C107&gt;0,-$B$5-($B$12/$B$10)*E107*F107,0)</f>
        <v/>
      </c>
      <c r="I107" s="12">
        <f>$B$3*COS(RADIANS($B$4))*A107</f>
        <v/>
      </c>
      <c r="J107" s="12">
        <f>MAX(0,($B$3*SIN(RADIANS($B$4))*A107)-(0.5*$B$5*A107^2))</f>
        <v/>
      </c>
    </row>
    <row r="108">
      <c r="A108" s="11">
        <f>A107+$B$6</f>
        <v/>
      </c>
      <c r="B108" s="11">
        <f>B107+D107*$B$6</f>
        <v/>
      </c>
      <c r="C108" s="11">
        <f>MAX(0,C107+E107*$B$6)</f>
        <v/>
      </c>
      <c r="D108" s="11">
        <f>D107+G107*$B$6</f>
        <v/>
      </c>
      <c r="E108" s="11">
        <f>E107+H107*$B$6</f>
        <v/>
      </c>
      <c r="F108" s="11">
        <f>SQRT(D108^2+E108^2)</f>
        <v/>
      </c>
      <c r="G108" s="11">
        <f>IF(C108&gt;0,-($B$12/$B$10)*D108*F108,0)</f>
        <v/>
      </c>
      <c r="H108" s="11">
        <f>IF(C108&gt;0,-$B$5-($B$12/$B$10)*E108*F108,0)</f>
        <v/>
      </c>
      <c r="I108" s="11">
        <f>$B$3*COS(RADIANS($B$4))*A108</f>
        <v/>
      </c>
      <c r="J108" s="11">
        <f>MAX(0,($B$3*SIN(RADIANS($B$4))*A108)-(0.5*$B$5*A108^2))</f>
        <v/>
      </c>
    </row>
    <row r="109">
      <c r="A109" s="12">
        <f>A108+$B$6</f>
        <v/>
      </c>
      <c r="B109" s="12">
        <f>B108+D108*$B$6</f>
        <v/>
      </c>
      <c r="C109" s="12">
        <f>MAX(0,C108+E108*$B$6)</f>
        <v/>
      </c>
      <c r="D109" s="12">
        <f>D108+G108*$B$6</f>
        <v/>
      </c>
      <c r="E109" s="12">
        <f>E108+H108*$B$6</f>
        <v/>
      </c>
      <c r="F109" s="12">
        <f>SQRT(D109^2+E109^2)</f>
        <v/>
      </c>
      <c r="G109" s="12">
        <f>IF(C109&gt;0,-($B$12/$B$10)*D109*F109,0)</f>
        <v/>
      </c>
      <c r="H109" s="12">
        <f>IF(C109&gt;0,-$B$5-($B$12/$B$10)*E109*F109,0)</f>
        <v/>
      </c>
      <c r="I109" s="12">
        <f>$B$3*COS(RADIANS($B$4))*A109</f>
        <v/>
      </c>
      <c r="J109" s="12">
        <f>MAX(0,($B$3*SIN(RADIANS($B$4))*A109)-(0.5*$B$5*A109^2))</f>
        <v/>
      </c>
    </row>
    <row r="110">
      <c r="A110" s="11">
        <f>A109+$B$6</f>
        <v/>
      </c>
      <c r="B110" s="11">
        <f>B109+D109*$B$6</f>
        <v/>
      </c>
      <c r="C110" s="11">
        <f>MAX(0,C109+E109*$B$6)</f>
        <v/>
      </c>
      <c r="D110" s="11">
        <f>D109+G109*$B$6</f>
        <v/>
      </c>
      <c r="E110" s="11">
        <f>E109+H109*$B$6</f>
        <v/>
      </c>
      <c r="F110" s="11">
        <f>SQRT(D110^2+E110^2)</f>
        <v/>
      </c>
      <c r="G110" s="11">
        <f>IF(C110&gt;0,-($B$12/$B$10)*D110*F110,0)</f>
        <v/>
      </c>
      <c r="H110" s="11">
        <f>IF(C110&gt;0,-$B$5-($B$12/$B$10)*E110*F110,0)</f>
        <v/>
      </c>
      <c r="I110" s="11">
        <f>$B$3*COS(RADIANS($B$4))*A110</f>
        <v/>
      </c>
      <c r="J110" s="11">
        <f>MAX(0,($B$3*SIN(RADIANS($B$4))*A110)-(0.5*$B$5*A110^2))</f>
        <v/>
      </c>
    </row>
    <row r="111">
      <c r="A111" s="12">
        <f>A110+$B$6</f>
        <v/>
      </c>
      <c r="B111" s="12">
        <f>B110+D110*$B$6</f>
        <v/>
      </c>
      <c r="C111" s="12">
        <f>MAX(0,C110+E110*$B$6)</f>
        <v/>
      </c>
      <c r="D111" s="12">
        <f>D110+G110*$B$6</f>
        <v/>
      </c>
      <c r="E111" s="12">
        <f>E110+H110*$B$6</f>
        <v/>
      </c>
      <c r="F111" s="12">
        <f>SQRT(D111^2+E111^2)</f>
        <v/>
      </c>
      <c r="G111" s="12">
        <f>IF(C111&gt;0,-($B$12/$B$10)*D111*F111,0)</f>
        <v/>
      </c>
      <c r="H111" s="12">
        <f>IF(C111&gt;0,-$B$5-($B$12/$B$10)*E111*F111,0)</f>
        <v/>
      </c>
      <c r="I111" s="12">
        <f>$B$3*COS(RADIANS($B$4))*A111</f>
        <v/>
      </c>
      <c r="J111" s="12">
        <f>MAX(0,($B$3*SIN(RADIANS($B$4))*A111)-(0.5*$B$5*A111^2))</f>
        <v/>
      </c>
    </row>
    <row r="112">
      <c r="A112" s="11">
        <f>A111+$B$6</f>
        <v/>
      </c>
      <c r="B112" s="11">
        <f>B111+D111*$B$6</f>
        <v/>
      </c>
      <c r="C112" s="11">
        <f>MAX(0,C111+E111*$B$6)</f>
        <v/>
      </c>
      <c r="D112" s="11">
        <f>D111+G111*$B$6</f>
        <v/>
      </c>
      <c r="E112" s="11">
        <f>E111+H111*$B$6</f>
        <v/>
      </c>
      <c r="F112" s="11">
        <f>SQRT(D112^2+E112^2)</f>
        <v/>
      </c>
      <c r="G112" s="11">
        <f>IF(C112&gt;0,-($B$12/$B$10)*D112*F112,0)</f>
        <v/>
      </c>
      <c r="H112" s="11">
        <f>IF(C112&gt;0,-$B$5-($B$12/$B$10)*E112*F112,0)</f>
        <v/>
      </c>
      <c r="I112" s="11">
        <f>$B$3*COS(RADIANS($B$4))*A112</f>
        <v/>
      </c>
      <c r="J112" s="11">
        <f>MAX(0,($B$3*SIN(RADIANS($B$4))*A112)-(0.5*$B$5*A112^2))</f>
        <v/>
      </c>
    </row>
    <row r="113">
      <c r="A113" s="12">
        <f>A112+$B$6</f>
        <v/>
      </c>
      <c r="B113" s="12">
        <f>B112+D112*$B$6</f>
        <v/>
      </c>
      <c r="C113" s="12">
        <f>MAX(0,C112+E112*$B$6)</f>
        <v/>
      </c>
      <c r="D113" s="12">
        <f>D112+G112*$B$6</f>
        <v/>
      </c>
      <c r="E113" s="12">
        <f>E112+H112*$B$6</f>
        <v/>
      </c>
      <c r="F113" s="12">
        <f>SQRT(D113^2+E113^2)</f>
        <v/>
      </c>
      <c r="G113" s="12">
        <f>IF(C113&gt;0,-($B$12/$B$10)*D113*F113,0)</f>
        <v/>
      </c>
      <c r="H113" s="12">
        <f>IF(C113&gt;0,-$B$5-($B$12/$B$10)*E113*F113,0)</f>
        <v/>
      </c>
      <c r="I113" s="12">
        <f>$B$3*COS(RADIANS($B$4))*A113</f>
        <v/>
      </c>
      <c r="J113" s="12">
        <f>MAX(0,($B$3*SIN(RADIANS($B$4))*A113)-(0.5*$B$5*A113^2))</f>
        <v/>
      </c>
    </row>
    <row r="114">
      <c r="A114" s="11">
        <f>A113+$B$6</f>
        <v/>
      </c>
      <c r="B114" s="11">
        <f>B113+D113*$B$6</f>
        <v/>
      </c>
      <c r="C114" s="11">
        <f>MAX(0,C113+E113*$B$6)</f>
        <v/>
      </c>
      <c r="D114" s="11">
        <f>D113+G113*$B$6</f>
        <v/>
      </c>
      <c r="E114" s="11">
        <f>E113+H113*$B$6</f>
        <v/>
      </c>
      <c r="F114" s="11">
        <f>SQRT(D114^2+E114^2)</f>
        <v/>
      </c>
      <c r="G114" s="11">
        <f>IF(C114&gt;0,-($B$12/$B$10)*D114*F114,0)</f>
        <v/>
      </c>
      <c r="H114" s="11">
        <f>IF(C114&gt;0,-$B$5-($B$12/$B$10)*E114*F114,0)</f>
        <v/>
      </c>
      <c r="I114" s="11">
        <f>$B$3*COS(RADIANS($B$4))*A114</f>
        <v/>
      </c>
      <c r="J114" s="11">
        <f>MAX(0,($B$3*SIN(RADIANS($B$4))*A114)-(0.5*$B$5*A114^2))</f>
        <v/>
      </c>
    </row>
    <row r="115">
      <c r="A115" s="12">
        <f>A114+$B$6</f>
        <v/>
      </c>
      <c r="B115" s="12">
        <f>B114+D114*$B$6</f>
        <v/>
      </c>
      <c r="C115" s="12">
        <f>MAX(0,C114+E114*$B$6)</f>
        <v/>
      </c>
      <c r="D115" s="12">
        <f>D114+G114*$B$6</f>
        <v/>
      </c>
      <c r="E115" s="12">
        <f>E114+H114*$B$6</f>
        <v/>
      </c>
      <c r="F115" s="12">
        <f>SQRT(D115^2+E115^2)</f>
        <v/>
      </c>
      <c r="G115" s="12">
        <f>IF(C115&gt;0,-($B$12/$B$10)*D115*F115,0)</f>
        <v/>
      </c>
      <c r="H115" s="12">
        <f>IF(C115&gt;0,-$B$5-($B$12/$B$10)*E115*F115,0)</f>
        <v/>
      </c>
      <c r="I115" s="12">
        <f>$B$3*COS(RADIANS($B$4))*A115</f>
        <v/>
      </c>
      <c r="J115" s="12">
        <f>MAX(0,($B$3*SIN(RADIANS($B$4))*A115)-(0.5*$B$5*A115^2))</f>
        <v/>
      </c>
    </row>
    <row r="116">
      <c r="A116" s="11">
        <f>A115+$B$6</f>
        <v/>
      </c>
      <c r="B116" s="11">
        <f>B115+D115*$B$6</f>
        <v/>
      </c>
      <c r="C116" s="11">
        <f>MAX(0,C115+E115*$B$6)</f>
        <v/>
      </c>
      <c r="D116" s="11">
        <f>D115+G115*$B$6</f>
        <v/>
      </c>
      <c r="E116" s="11">
        <f>E115+H115*$B$6</f>
        <v/>
      </c>
      <c r="F116" s="11">
        <f>SQRT(D116^2+E116^2)</f>
        <v/>
      </c>
      <c r="G116" s="11">
        <f>IF(C116&gt;0,-($B$12/$B$10)*D116*F116,0)</f>
        <v/>
      </c>
      <c r="H116" s="11">
        <f>IF(C116&gt;0,-$B$5-($B$12/$B$10)*E116*F116,0)</f>
        <v/>
      </c>
      <c r="I116" s="11">
        <f>$B$3*COS(RADIANS($B$4))*A116</f>
        <v/>
      </c>
      <c r="J116" s="11">
        <f>MAX(0,($B$3*SIN(RADIANS($B$4))*A116)-(0.5*$B$5*A116^2))</f>
        <v/>
      </c>
    </row>
    <row r="117">
      <c r="A117" s="12">
        <f>A116+$B$6</f>
        <v/>
      </c>
      <c r="B117" s="12">
        <f>B116+D116*$B$6</f>
        <v/>
      </c>
      <c r="C117" s="12">
        <f>MAX(0,C116+E116*$B$6)</f>
        <v/>
      </c>
      <c r="D117" s="12">
        <f>D116+G116*$B$6</f>
        <v/>
      </c>
      <c r="E117" s="12">
        <f>E116+H116*$B$6</f>
        <v/>
      </c>
      <c r="F117" s="12">
        <f>SQRT(D117^2+E117^2)</f>
        <v/>
      </c>
      <c r="G117" s="12">
        <f>IF(C117&gt;0,-($B$12/$B$10)*D117*F117,0)</f>
        <v/>
      </c>
      <c r="H117" s="12">
        <f>IF(C117&gt;0,-$B$5-($B$12/$B$10)*E117*F117,0)</f>
        <v/>
      </c>
      <c r="I117" s="12">
        <f>$B$3*COS(RADIANS($B$4))*A117</f>
        <v/>
      </c>
      <c r="J117" s="12">
        <f>MAX(0,($B$3*SIN(RADIANS($B$4))*A117)-(0.5*$B$5*A117^2))</f>
        <v/>
      </c>
    </row>
    <row r="118">
      <c r="A118" s="11">
        <f>A117+$B$6</f>
        <v/>
      </c>
      <c r="B118" s="11">
        <f>B117+D117*$B$6</f>
        <v/>
      </c>
      <c r="C118" s="11">
        <f>MAX(0,C117+E117*$B$6)</f>
        <v/>
      </c>
      <c r="D118" s="11">
        <f>D117+G117*$B$6</f>
        <v/>
      </c>
      <c r="E118" s="11">
        <f>E117+H117*$B$6</f>
        <v/>
      </c>
      <c r="F118" s="11">
        <f>SQRT(D118^2+E118^2)</f>
        <v/>
      </c>
      <c r="G118" s="11">
        <f>IF(C118&gt;0,-($B$12/$B$10)*D118*F118,0)</f>
        <v/>
      </c>
      <c r="H118" s="11">
        <f>IF(C118&gt;0,-$B$5-($B$12/$B$10)*E118*F118,0)</f>
        <v/>
      </c>
      <c r="I118" s="11">
        <f>$B$3*COS(RADIANS($B$4))*A118</f>
        <v/>
      </c>
      <c r="J118" s="11">
        <f>MAX(0,($B$3*SIN(RADIANS($B$4))*A118)-(0.5*$B$5*A118^2))</f>
        <v/>
      </c>
    </row>
    <row r="119">
      <c r="A119" s="12">
        <f>A118+$B$6</f>
        <v/>
      </c>
      <c r="B119" s="12">
        <f>B118+D118*$B$6</f>
        <v/>
      </c>
      <c r="C119" s="12">
        <f>MAX(0,C118+E118*$B$6)</f>
        <v/>
      </c>
      <c r="D119" s="12">
        <f>D118+G118*$B$6</f>
        <v/>
      </c>
      <c r="E119" s="12">
        <f>E118+H118*$B$6</f>
        <v/>
      </c>
      <c r="F119" s="12">
        <f>SQRT(D119^2+E119^2)</f>
        <v/>
      </c>
      <c r="G119" s="12">
        <f>IF(C119&gt;0,-($B$12/$B$10)*D119*F119,0)</f>
        <v/>
      </c>
      <c r="H119" s="12">
        <f>IF(C119&gt;0,-$B$5-($B$12/$B$10)*E119*F119,0)</f>
        <v/>
      </c>
      <c r="I119" s="12">
        <f>$B$3*COS(RADIANS($B$4))*A119</f>
        <v/>
      </c>
      <c r="J119" s="12">
        <f>MAX(0,($B$3*SIN(RADIANS($B$4))*A119)-(0.5*$B$5*A119^2))</f>
        <v/>
      </c>
    </row>
    <row r="120">
      <c r="A120" s="11">
        <f>A119+$B$6</f>
        <v/>
      </c>
      <c r="B120" s="11">
        <f>B119+D119*$B$6</f>
        <v/>
      </c>
      <c r="C120" s="11">
        <f>MAX(0,C119+E119*$B$6)</f>
        <v/>
      </c>
      <c r="D120" s="11">
        <f>D119+G119*$B$6</f>
        <v/>
      </c>
      <c r="E120" s="11">
        <f>E119+H119*$B$6</f>
        <v/>
      </c>
      <c r="F120" s="11">
        <f>SQRT(D120^2+E120^2)</f>
        <v/>
      </c>
      <c r="G120" s="11">
        <f>IF(C120&gt;0,-($B$12/$B$10)*D120*F120,0)</f>
        <v/>
      </c>
      <c r="H120" s="11">
        <f>IF(C120&gt;0,-$B$5-($B$12/$B$10)*E120*F120,0)</f>
        <v/>
      </c>
      <c r="I120" s="11">
        <f>$B$3*COS(RADIANS($B$4))*A120</f>
        <v/>
      </c>
      <c r="J120" s="11">
        <f>MAX(0,($B$3*SIN(RADIANS($B$4))*A120)-(0.5*$B$5*A120^2))</f>
        <v/>
      </c>
    </row>
    <row r="121">
      <c r="A121" s="12">
        <f>A120+$B$6</f>
        <v/>
      </c>
      <c r="B121" s="12">
        <f>B120+D120*$B$6</f>
        <v/>
      </c>
      <c r="C121" s="12">
        <f>MAX(0,C120+E120*$B$6)</f>
        <v/>
      </c>
      <c r="D121" s="12">
        <f>D120+G120*$B$6</f>
        <v/>
      </c>
      <c r="E121" s="12">
        <f>E120+H120*$B$6</f>
        <v/>
      </c>
      <c r="F121" s="12">
        <f>SQRT(D121^2+E121^2)</f>
        <v/>
      </c>
      <c r="G121" s="12">
        <f>IF(C121&gt;0,-($B$12/$B$10)*D121*F121,0)</f>
        <v/>
      </c>
      <c r="H121" s="12">
        <f>IF(C121&gt;0,-$B$5-($B$12/$B$10)*E121*F121,0)</f>
        <v/>
      </c>
      <c r="I121" s="12">
        <f>$B$3*COS(RADIANS($B$4))*A121</f>
        <v/>
      </c>
      <c r="J121" s="12">
        <f>MAX(0,($B$3*SIN(RADIANS($B$4))*A121)-(0.5*$B$5*A121^2))</f>
        <v/>
      </c>
    </row>
    <row r="122">
      <c r="A122" s="11">
        <f>A121+$B$6</f>
        <v/>
      </c>
      <c r="B122" s="11">
        <f>B121+D121*$B$6</f>
        <v/>
      </c>
      <c r="C122" s="11">
        <f>MAX(0,C121+E121*$B$6)</f>
        <v/>
      </c>
      <c r="D122" s="11">
        <f>D121+G121*$B$6</f>
        <v/>
      </c>
      <c r="E122" s="11">
        <f>E121+H121*$B$6</f>
        <v/>
      </c>
      <c r="F122" s="11">
        <f>SQRT(D122^2+E122^2)</f>
        <v/>
      </c>
      <c r="G122" s="11">
        <f>IF(C122&gt;0,-($B$12/$B$10)*D122*F122,0)</f>
        <v/>
      </c>
      <c r="H122" s="11">
        <f>IF(C122&gt;0,-$B$5-($B$12/$B$10)*E122*F122,0)</f>
        <v/>
      </c>
      <c r="I122" s="11">
        <f>$B$3*COS(RADIANS($B$4))*A122</f>
        <v/>
      </c>
      <c r="J122" s="11">
        <f>MAX(0,($B$3*SIN(RADIANS($B$4))*A122)-(0.5*$B$5*A122^2))</f>
        <v/>
      </c>
    </row>
    <row r="123">
      <c r="A123" s="12">
        <f>A122+$B$6</f>
        <v/>
      </c>
      <c r="B123" s="12">
        <f>B122+D122*$B$6</f>
        <v/>
      </c>
      <c r="C123" s="12">
        <f>MAX(0,C122+E122*$B$6)</f>
        <v/>
      </c>
      <c r="D123" s="12">
        <f>D122+G122*$B$6</f>
        <v/>
      </c>
      <c r="E123" s="12">
        <f>E122+H122*$B$6</f>
        <v/>
      </c>
      <c r="F123" s="12">
        <f>SQRT(D123^2+E123^2)</f>
        <v/>
      </c>
      <c r="G123" s="12">
        <f>IF(C123&gt;0,-($B$12/$B$10)*D123*F123,0)</f>
        <v/>
      </c>
      <c r="H123" s="12">
        <f>IF(C123&gt;0,-$B$5-($B$12/$B$10)*E123*F123,0)</f>
        <v/>
      </c>
      <c r="I123" s="12">
        <f>$B$3*COS(RADIANS($B$4))*A123</f>
        <v/>
      </c>
      <c r="J123" s="12">
        <f>MAX(0,($B$3*SIN(RADIANS($B$4))*A123)-(0.5*$B$5*A123^2))</f>
        <v/>
      </c>
    </row>
    <row r="124">
      <c r="A124" s="11">
        <f>A123+$B$6</f>
        <v/>
      </c>
      <c r="B124" s="11">
        <f>B123+D123*$B$6</f>
        <v/>
      </c>
      <c r="C124" s="11">
        <f>MAX(0,C123+E123*$B$6)</f>
        <v/>
      </c>
      <c r="D124" s="11">
        <f>D123+G123*$B$6</f>
        <v/>
      </c>
      <c r="E124" s="11">
        <f>E123+H123*$B$6</f>
        <v/>
      </c>
      <c r="F124" s="11">
        <f>SQRT(D124^2+E124^2)</f>
        <v/>
      </c>
      <c r="G124" s="11">
        <f>IF(C124&gt;0,-($B$12/$B$10)*D124*F124,0)</f>
        <v/>
      </c>
      <c r="H124" s="11">
        <f>IF(C124&gt;0,-$B$5-($B$12/$B$10)*E124*F124,0)</f>
        <v/>
      </c>
      <c r="I124" s="11">
        <f>$B$3*COS(RADIANS($B$4))*A124</f>
        <v/>
      </c>
      <c r="J124" s="11">
        <f>MAX(0,($B$3*SIN(RADIANS($B$4))*A124)-(0.5*$B$5*A124^2))</f>
        <v/>
      </c>
    </row>
    <row r="125">
      <c r="A125" s="12">
        <f>A124+$B$6</f>
        <v/>
      </c>
      <c r="B125" s="12">
        <f>B124+D124*$B$6</f>
        <v/>
      </c>
      <c r="C125" s="12">
        <f>MAX(0,C124+E124*$B$6)</f>
        <v/>
      </c>
      <c r="D125" s="12">
        <f>D124+G124*$B$6</f>
        <v/>
      </c>
      <c r="E125" s="12">
        <f>E124+H124*$B$6</f>
        <v/>
      </c>
      <c r="F125" s="12">
        <f>SQRT(D125^2+E125^2)</f>
        <v/>
      </c>
      <c r="G125" s="12">
        <f>IF(C125&gt;0,-($B$12/$B$10)*D125*F125,0)</f>
        <v/>
      </c>
      <c r="H125" s="12">
        <f>IF(C125&gt;0,-$B$5-($B$12/$B$10)*E125*F125,0)</f>
        <v/>
      </c>
      <c r="I125" s="12">
        <f>$B$3*COS(RADIANS($B$4))*A125</f>
        <v/>
      </c>
      <c r="J125" s="12">
        <f>MAX(0,($B$3*SIN(RADIANS($B$4))*A125)-(0.5*$B$5*A125^2))</f>
        <v/>
      </c>
    </row>
    <row r="126">
      <c r="A126" s="11">
        <f>A125+$B$6</f>
        <v/>
      </c>
      <c r="B126" s="11">
        <f>B125+D125*$B$6</f>
        <v/>
      </c>
      <c r="C126" s="11">
        <f>MAX(0,C125+E125*$B$6)</f>
        <v/>
      </c>
      <c r="D126" s="11">
        <f>D125+G125*$B$6</f>
        <v/>
      </c>
      <c r="E126" s="11">
        <f>E125+H125*$B$6</f>
        <v/>
      </c>
      <c r="F126" s="11">
        <f>SQRT(D126^2+E126^2)</f>
        <v/>
      </c>
      <c r="G126" s="11">
        <f>IF(C126&gt;0,-($B$12/$B$10)*D126*F126,0)</f>
        <v/>
      </c>
      <c r="H126" s="11">
        <f>IF(C126&gt;0,-$B$5-($B$12/$B$10)*E126*F126,0)</f>
        <v/>
      </c>
      <c r="I126" s="11">
        <f>$B$3*COS(RADIANS($B$4))*A126</f>
        <v/>
      </c>
      <c r="J126" s="11">
        <f>MAX(0,($B$3*SIN(RADIANS($B$4))*A126)-(0.5*$B$5*A126^2))</f>
        <v/>
      </c>
    </row>
    <row r="127">
      <c r="A127" s="12">
        <f>A126+$B$6</f>
        <v/>
      </c>
      <c r="B127" s="12">
        <f>B126+D126*$B$6</f>
        <v/>
      </c>
      <c r="C127" s="12">
        <f>MAX(0,C126+E126*$B$6)</f>
        <v/>
      </c>
      <c r="D127" s="12">
        <f>D126+G126*$B$6</f>
        <v/>
      </c>
      <c r="E127" s="12">
        <f>E126+H126*$B$6</f>
        <v/>
      </c>
      <c r="F127" s="12">
        <f>SQRT(D127^2+E127^2)</f>
        <v/>
      </c>
      <c r="G127" s="12">
        <f>IF(C127&gt;0,-($B$12/$B$10)*D127*F127,0)</f>
        <v/>
      </c>
      <c r="H127" s="12">
        <f>IF(C127&gt;0,-$B$5-($B$12/$B$10)*E127*F127,0)</f>
        <v/>
      </c>
      <c r="I127" s="12">
        <f>$B$3*COS(RADIANS($B$4))*A127</f>
        <v/>
      </c>
      <c r="J127" s="12">
        <f>MAX(0,($B$3*SIN(RADIANS($B$4))*A127)-(0.5*$B$5*A127^2))</f>
        <v/>
      </c>
    </row>
    <row r="128">
      <c r="A128" s="11">
        <f>A127+$B$6</f>
        <v/>
      </c>
      <c r="B128" s="11">
        <f>B127+D127*$B$6</f>
        <v/>
      </c>
      <c r="C128" s="11">
        <f>MAX(0,C127+E127*$B$6)</f>
        <v/>
      </c>
      <c r="D128" s="11">
        <f>D127+G127*$B$6</f>
        <v/>
      </c>
      <c r="E128" s="11">
        <f>E127+H127*$B$6</f>
        <v/>
      </c>
      <c r="F128" s="11">
        <f>SQRT(D128^2+E128^2)</f>
        <v/>
      </c>
      <c r="G128" s="11">
        <f>IF(C128&gt;0,-($B$12/$B$10)*D128*F128,0)</f>
        <v/>
      </c>
      <c r="H128" s="11">
        <f>IF(C128&gt;0,-$B$5-($B$12/$B$10)*E128*F128,0)</f>
        <v/>
      </c>
      <c r="I128" s="11">
        <f>$B$3*COS(RADIANS($B$4))*A128</f>
        <v/>
      </c>
      <c r="J128" s="11">
        <f>MAX(0,($B$3*SIN(RADIANS($B$4))*A128)-(0.5*$B$5*A128^2))</f>
        <v/>
      </c>
    </row>
    <row r="129">
      <c r="A129" s="12">
        <f>A128+$B$6</f>
        <v/>
      </c>
      <c r="B129" s="12">
        <f>B128+D128*$B$6</f>
        <v/>
      </c>
      <c r="C129" s="12">
        <f>MAX(0,C128+E128*$B$6)</f>
        <v/>
      </c>
      <c r="D129" s="12">
        <f>D128+G128*$B$6</f>
        <v/>
      </c>
      <c r="E129" s="12">
        <f>E128+H128*$B$6</f>
        <v/>
      </c>
      <c r="F129" s="12">
        <f>SQRT(D129^2+E129^2)</f>
        <v/>
      </c>
      <c r="G129" s="12">
        <f>IF(C129&gt;0,-($B$12/$B$10)*D129*F129,0)</f>
        <v/>
      </c>
      <c r="H129" s="12">
        <f>IF(C129&gt;0,-$B$5-($B$12/$B$10)*E129*F129,0)</f>
        <v/>
      </c>
      <c r="I129" s="12">
        <f>$B$3*COS(RADIANS($B$4))*A129</f>
        <v/>
      </c>
      <c r="J129" s="12">
        <f>MAX(0,($B$3*SIN(RADIANS($B$4))*A129)-(0.5*$B$5*A129^2))</f>
        <v/>
      </c>
    </row>
    <row r="130">
      <c r="A130" s="11">
        <f>A129+$B$6</f>
        <v/>
      </c>
      <c r="B130" s="11">
        <f>B129+D129*$B$6</f>
        <v/>
      </c>
      <c r="C130" s="11">
        <f>MAX(0,C129+E129*$B$6)</f>
        <v/>
      </c>
      <c r="D130" s="11">
        <f>D129+G129*$B$6</f>
        <v/>
      </c>
      <c r="E130" s="11">
        <f>E129+H129*$B$6</f>
        <v/>
      </c>
      <c r="F130" s="11">
        <f>SQRT(D130^2+E130^2)</f>
        <v/>
      </c>
      <c r="G130" s="11">
        <f>IF(C130&gt;0,-($B$12/$B$10)*D130*F130,0)</f>
        <v/>
      </c>
      <c r="H130" s="11">
        <f>IF(C130&gt;0,-$B$5-($B$12/$B$10)*E130*F130,0)</f>
        <v/>
      </c>
      <c r="I130" s="11">
        <f>$B$3*COS(RADIANS($B$4))*A130</f>
        <v/>
      </c>
      <c r="J130" s="11">
        <f>MAX(0,($B$3*SIN(RADIANS($B$4))*A130)-(0.5*$B$5*A130^2))</f>
        <v/>
      </c>
    </row>
    <row r="131">
      <c r="A131" s="12">
        <f>A130+$B$6</f>
        <v/>
      </c>
      <c r="B131" s="12">
        <f>B130+D130*$B$6</f>
        <v/>
      </c>
      <c r="C131" s="12">
        <f>MAX(0,C130+E130*$B$6)</f>
        <v/>
      </c>
      <c r="D131" s="12">
        <f>D130+G130*$B$6</f>
        <v/>
      </c>
      <c r="E131" s="12">
        <f>E130+H130*$B$6</f>
        <v/>
      </c>
      <c r="F131" s="12">
        <f>SQRT(D131^2+E131^2)</f>
        <v/>
      </c>
      <c r="G131" s="12">
        <f>IF(C131&gt;0,-($B$12/$B$10)*D131*F131,0)</f>
        <v/>
      </c>
      <c r="H131" s="12">
        <f>IF(C131&gt;0,-$B$5-($B$12/$B$10)*E131*F131,0)</f>
        <v/>
      </c>
      <c r="I131" s="12">
        <f>$B$3*COS(RADIANS($B$4))*A131</f>
        <v/>
      </c>
      <c r="J131" s="12">
        <f>MAX(0,($B$3*SIN(RADIANS($B$4))*A131)-(0.5*$B$5*A131^2))</f>
        <v/>
      </c>
    </row>
    <row r="132">
      <c r="A132" s="11">
        <f>A131+$B$6</f>
        <v/>
      </c>
      <c r="B132" s="11">
        <f>B131+D131*$B$6</f>
        <v/>
      </c>
      <c r="C132" s="11">
        <f>MAX(0,C131+E131*$B$6)</f>
        <v/>
      </c>
      <c r="D132" s="11">
        <f>D131+G131*$B$6</f>
        <v/>
      </c>
      <c r="E132" s="11">
        <f>E131+H131*$B$6</f>
        <v/>
      </c>
      <c r="F132" s="11">
        <f>SQRT(D132^2+E132^2)</f>
        <v/>
      </c>
      <c r="G132" s="11">
        <f>IF(C132&gt;0,-($B$12/$B$10)*D132*F132,0)</f>
        <v/>
      </c>
      <c r="H132" s="11">
        <f>IF(C132&gt;0,-$B$5-($B$12/$B$10)*E132*F132,0)</f>
        <v/>
      </c>
      <c r="I132" s="11">
        <f>$B$3*COS(RADIANS($B$4))*A132</f>
        <v/>
      </c>
      <c r="J132" s="11">
        <f>MAX(0,($B$3*SIN(RADIANS($B$4))*A132)-(0.5*$B$5*A132^2))</f>
        <v/>
      </c>
    </row>
    <row r="133">
      <c r="A133" s="12">
        <f>A132+$B$6</f>
        <v/>
      </c>
      <c r="B133" s="12">
        <f>B132+D132*$B$6</f>
        <v/>
      </c>
      <c r="C133" s="12">
        <f>MAX(0,C132+E132*$B$6)</f>
        <v/>
      </c>
      <c r="D133" s="12">
        <f>D132+G132*$B$6</f>
        <v/>
      </c>
      <c r="E133" s="12">
        <f>E132+H132*$B$6</f>
        <v/>
      </c>
      <c r="F133" s="12">
        <f>SQRT(D133^2+E133^2)</f>
        <v/>
      </c>
      <c r="G133" s="12">
        <f>IF(C133&gt;0,-($B$12/$B$10)*D133*F133,0)</f>
        <v/>
      </c>
      <c r="H133" s="12">
        <f>IF(C133&gt;0,-$B$5-($B$12/$B$10)*E133*F133,0)</f>
        <v/>
      </c>
      <c r="I133" s="12">
        <f>$B$3*COS(RADIANS($B$4))*A133</f>
        <v/>
      </c>
      <c r="J133" s="12">
        <f>MAX(0,($B$3*SIN(RADIANS($B$4))*A133)-(0.5*$B$5*A133^2))</f>
        <v/>
      </c>
    </row>
    <row r="134">
      <c r="A134" s="11">
        <f>A133+$B$6</f>
        <v/>
      </c>
      <c r="B134" s="11">
        <f>B133+D133*$B$6</f>
        <v/>
      </c>
      <c r="C134" s="11">
        <f>MAX(0,C133+E133*$B$6)</f>
        <v/>
      </c>
      <c r="D134" s="11">
        <f>D133+G133*$B$6</f>
        <v/>
      </c>
      <c r="E134" s="11">
        <f>E133+H133*$B$6</f>
        <v/>
      </c>
      <c r="F134" s="11">
        <f>SQRT(D134^2+E134^2)</f>
        <v/>
      </c>
      <c r="G134" s="11">
        <f>IF(C134&gt;0,-($B$12/$B$10)*D134*F134,0)</f>
        <v/>
      </c>
      <c r="H134" s="11">
        <f>IF(C134&gt;0,-$B$5-($B$12/$B$10)*E134*F134,0)</f>
        <v/>
      </c>
      <c r="I134" s="11">
        <f>$B$3*COS(RADIANS($B$4))*A134</f>
        <v/>
      </c>
      <c r="J134" s="11">
        <f>MAX(0,($B$3*SIN(RADIANS($B$4))*A134)-(0.5*$B$5*A134^2))</f>
        <v/>
      </c>
    </row>
    <row r="135">
      <c r="A135" s="12">
        <f>A134+$B$6</f>
        <v/>
      </c>
      <c r="B135" s="12">
        <f>B134+D134*$B$6</f>
        <v/>
      </c>
      <c r="C135" s="12">
        <f>MAX(0,C134+E134*$B$6)</f>
        <v/>
      </c>
      <c r="D135" s="12">
        <f>D134+G134*$B$6</f>
        <v/>
      </c>
      <c r="E135" s="12">
        <f>E134+H134*$B$6</f>
        <v/>
      </c>
      <c r="F135" s="12">
        <f>SQRT(D135^2+E135^2)</f>
        <v/>
      </c>
      <c r="G135" s="12">
        <f>IF(C135&gt;0,-($B$12/$B$10)*D135*F135,0)</f>
        <v/>
      </c>
      <c r="H135" s="12">
        <f>IF(C135&gt;0,-$B$5-($B$12/$B$10)*E135*F135,0)</f>
        <v/>
      </c>
      <c r="I135" s="12">
        <f>$B$3*COS(RADIANS($B$4))*A135</f>
        <v/>
      </c>
      <c r="J135" s="12">
        <f>MAX(0,($B$3*SIN(RADIANS($B$4))*A135)-(0.5*$B$5*A135^2))</f>
        <v/>
      </c>
    </row>
    <row r="136">
      <c r="A136" s="11">
        <f>A135+$B$6</f>
        <v/>
      </c>
      <c r="B136" s="11">
        <f>B135+D135*$B$6</f>
        <v/>
      </c>
      <c r="C136" s="11">
        <f>MAX(0,C135+E135*$B$6)</f>
        <v/>
      </c>
      <c r="D136" s="11">
        <f>D135+G135*$B$6</f>
        <v/>
      </c>
      <c r="E136" s="11">
        <f>E135+H135*$B$6</f>
        <v/>
      </c>
      <c r="F136" s="11">
        <f>SQRT(D136^2+E136^2)</f>
        <v/>
      </c>
      <c r="G136" s="11">
        <f>IF(C136&gt;0,-($B$12/$B$10)*D136*F136,0)</f>
        <v/>
      </c>
      <c r="H136" s="11">
        <f>IF(C136&gt;0,-$B$5-($B$12/$B$10)*E136*F136,0)</f>
        <v/>
      </c>
      <c r="I136" s="11">
        <f>$B$3*COS(RADIANS($B$4))*A136</f>
        <v/>
      </c>
      <c r="J136" s="11">
        <f>MAX(0,($B$3*SIN(RADIANS($B$4))*A136)-(0.5*$B$5*A136^2))</f>
        <v/>
      </c>
    </row>
    <row r="137">
      <c r="A137" s="12">
        <f>A136+$B$6</f>
        <v/>
      </c>
      <c r="B137" s="12">
        <f>B136+D136*$B$6</f>
        <v/>
      </c>
      <c r="C137" s="12">
        <f>MAX(0,C136+E136*$B$6)</f>
        <v/>
      </c>
      <c r="D137" s="12">
        <f>D136+G136*$B$6</f>
        <v/>
      </c>
      <c r="E137" s="12">
        <f>E136+H136*$B$6</f>
        <v/>
      </c>
      <c r="F137" s="12">
        <f>SQRT(D137^2+E137^2)</f>
        <v/>
      </c>
      <c r="G137" s="12">
        <f>IF(C137&gt;0,-($B$12/$B$10)*D137*F137,0)</f>
        <v/>
      </c>
      <c r="H137" s="12">
        <f>IF(C137&gt;0,-$B$5-($B$12/$B$10)*E137*F137,0)</f>
        <v/>
      </c>
      <c r="I137" s="12">
        <f>$B$3*COS(RADIANS($B$4))*A137</f>
        <v/>
      </c>
      <c r="J137" s="12">
        <f>MAX(0,($B$3*SIN(RADIANS($B$4))*A137)-(0.5*$B$5*A137^2))</f>
        <v/>
      </c>
    </row>
    <row r="138">
      <c r="A138" s="11">
        <f>A137+$B$6</f>
        <v/>
      </c>
      <c r="B138" s="11">
        <f>B137+D137*$B$6</f>
        <v/>
      </c>
      <c r="C138" s="11">
        <f>MAX(0,C137+E137*$B$6)</f>
        <v/>
      </c>
      <c r="D138" s="11">
        <f>D137+G137*$B$6</f>
        <v/>
      </c>
      <c r="E138" s="11">
        <f>E137+H137*$B$6</f>
        <v/>
      </c>
      <c r="F138" s="11">
        <f>SQRT(D138^2+E138^2)</f>
        <v/>
      </c>
      <c r="G138" s="11">
        <f>IF(C138&gt;0,-($B$12/$B$10)*D138*F138,0)</f>
        <v/>
      </c>
      <c r="H138" s="11">
        <f>IF(C138&gt;0,-$B$5-($B$12/$B$10)*E138*F138,0)</f>
        <v/>
      </c>
      <c r="I138" s="11">
        <f>$B$3*COS(RADIANS($B$4))*A138</f>
        <v/>
      </c>
      <c r="J138" s="11">
        <f>MAX(0,($B$3*SIN(RADIANS($B$4))*A138)-(0.5*$B$5*A138^2))</f>
        <v/>
      </c>
    </row>
    <row r="139">
      <c r="A139" s="12">
        <f>A138+$B$6</f>
        <v/>
      </c>
      <c r="B139" s="12">
        <f>B138+D138*$B$6</f>
        <v/>
      </c>
      <c r="C139" s="12">
        <f>MAX(0,C138+E138*$B$6)</f>
        <v/>
      </c>
      <c r="D139" s="12">
        <f>D138+G138*$B$6</f>
        <v/>
      </c>
      <c r="E139" s="12">
        <f>E138+H138*$B$6</f>
        <v/>
      </c>
      <c r="F139" s="12">
        <f>SQRT(D139^2+E139^2)</f>
        <v/>
      </c>
      <c r="G139" s="12">
        <f>IF(C139&gt;0,-($B$12/$B$10)*D139*F139,0)</f>
        <v/>
      </c>
      <c r="H139" s="12">
        <f>IF(C139&gt;0,-$B$5-($B$12/$B$10)*E139*F139,0)</f>
        <v/>
      </c>
      <c r="I139" s="12">
        <f>$B$3*COS(RADIANS($B$4))*A139</f>
        <v/>
      </c>
      <c r="J139" s="12">
        <f>MAX(0,($B$3*SIN(RADIANS($B$4))*A139)-(0.5*$B$5*A139^2))</f>
        <v/>
      </c>
    </row>
    <row r="140">
      <c r="A140" s="11">
        <f>A139+$B$6</f>
        <v/>
      </c>
      <c r="B140" s="11">
        <f>B139+D139*$B$6</f>
        <v/>
      </c>
      <c r="C140" s="11">
        <f>MAX(0,C139+E139*$B$6)</f>
        <v/>
      </c>
      <c r="D140" s="11">
        <f>D139+G139*$B$6</f>
        <v/>
      </c>
      <c r="E140" s="11">
        <f>E139+H139*$B$6</f>
        <v/>
      </c>
      <c r="F140" s="11">
        <f>SQRT(D140^2+E140^2)</f>
        <v/>
      </c>
      <c r="G140" s="11">
        <f>IF(C140&gt;0,-($B$12/$B$10)*D140*F140,0)</f>
        <v/>
      </c>
      <c r="H140" s="11">
        <f>IF(C140&gt;0,-$B$5-($B$12/$B$10)*E140*F140,0)</f>
        <v/>
      </c>
      <c r="I140" s="11">
        <f>$B$3*COS(RADIANS($B$4))*A140</f>
        <v/>
      </c>
      <c r="J140" s="11">
        <f>MAX(0,($B$3*SIN(RADIANS($B$4))*A140)-(0.5*$B$5*A140^2))</f>
        <v/>
      </c>
    </row>
    <row r="141">
      <c r="A141" s="12">
        <f>A140+$B$6</f>
        <v/>
      </c>
      <c r="B141" s="12">
        <f>B140+D140*$B$6</f>
        <v/>
      </c>
      <c r="C141" s="12">
        <f>MAX(0,C140+E140*$B$6)</f>
        <v/>
      </c>
      <c r="D141" s="12">
        <f>D140+G140*$B$6</f>
        <v/>
      </c>
      <c r="E141" s="12">
        <f>E140+H140*$B$6</f>
        <v/>
      </c>
      <c r="F141" s="12">
        <f>SQRT(D141^2+E141^2)</f>
        <v/>
      </c>
      <c r="G141" s="12">
        <f>IF(C141&gt;0,-($B$12/$B$10)*D141*F141,0)</f>
        <v/>
      </c>
      <c r="H141" s="12">
        <f>IF(C141&gt;0,-$B$5-($B$12/$B$10)*E141*F141,0)</f>
        <v/>
      </c>
      <c r="I141" s="12">
        <f>$B$3*COS(RADIANS($B$4))*A141</f>
        <v/>
      </c>
      <c r="J141" s="12">
        <f>MAX(0,($B$3*SIN(RADIANS($B$4))*A141)-(0.5*$B$5*A141^2))</f>
        <v/>
      </c>
    </row>
    <row r="142">
      <c r="A142" s="11">
        <f>A141+$B$6</f>
        <v/>
      </c>
      <c r="B142" s="11">
        <f>B141+D141*$B$6</f>
        <v/>
      </c>
      <c r="C142" s="11">
        <f>MAX(0,C141+E141*$B$6)</f>
        <v/>
      </c>
      <c r="D142" s="11">
        <f>D141+G141*$B$6</f>
        <v/>
      </c>
      <c r="E142" s="11">
        <f>E141+H141*$B$6</f>
        <v/>
      </c>
      <c r="F142" s="11">
        <f>SQRT(D142^2+E142^2)</f>
        <v/>
      </c>
      <c r="G142" s="11">
        <f>IF(C142&gt;0,-($B$12/$B$10)*D142*F142,0)</f>
        <v/>
      </c>
      <c r="H142" s="11">
        <f>IF(C142&gt;0,-$B$5-($B$12/$B$10)*E142*F142,0)</f>
        <v/>
      </c>
      <c r="I142" s="11">
        <f>$B$3*COS(RADIANS($B$4))*A142</f>
        <v/>
      </c>
      <c r="J142" s="11">
        <f>MAX(0,($B$3*SIN(RADIANS($B$4))*A142)-(0.5*$B$5*A142^2))</f>
        <v/>
      </c>
    </row>
    <row r="143">
      <c r="A143" s="12">
        <f>A142+$B$6</f>
        <v/>
      </c>
      <c r="B143" s="12">
        <f>B142+D142*$B$6</f>
        <v/>
      </c>
      <c r="C143" s="12">
        <f>MAX(0,C142+E142*$B$6)</f>
        <v/>
      </c>
      <c r="D143" s="12">
        <f>D142+G142*$B$6</f>
        <v/>
      </c>
      <c r="E143" s="12">
        <f>E142+H142*$B$6</f>
        <v/>
      </c>
      <c r="F143" s="12">
        <f>SQRT(D143^2+E143^2)</f>
        <v/>
      </c>
      <c r="G143" s="12">
        <f>IF(C143&gt;0,-($B$12/$B$10)*D143*F143,0)</f>
        <v/>
      </c>
      <c r="H143" s="12">
        <f>IF(C143&gt;0,-$B$5-($B$12/$B$10)*E143*F143,0)</f>
        <v/>
      </c>
      <c r="I143" s="12">
        <f>$B$3*COS(RADIANS($B$4))*A143</f>
        <v/>
      </c>
      <c r="J143" s="12">
        <f>MAX(0,($B$3*SIN(RADIANS($B$4))*A143)-(0.5*$B$5*A143^2))</f>
        <v/>
      </c>
    </row>
    <row r="144">
      <c r="A144" s="11">
        <f>A143+$B$6</f>
        <v/>
      </c>
      <c r="B144" s="11">
        <f>B143+D143*$B$6</f>
        <v/>
      </c>
      <c r="C144" s="11">
        <f>MAX(0,C143+E143*$B$6)</f>
        <v/>
      </c>
      <c r="D144" s="11">
        <f>D143+G143*$B$6</f>
        <v/>
      </c>
      <c r="E144" s="11">
        <f>E143+H143*$B$6</f>
        <v/>
      </c>
      <c r="F144" s="11">
        <f>SQRT(D144^2+E144^2)</f>
        <v/>
      </c>
      <c r="G144" s="11">
        <f>IF(C144&gt;0,-($B$12/$B$10)*D144*F144,0)</f>
        <v/>
      </c>
      <c r="H144" s="11">
        <f>IF(C144&gt;0,-$B$5-($B$12/$B$10)*E144*F144,0)</f>
        <v/>
      </c>
      <c r="I144" s="11">
        <f>$B$3*COS(RADIANS($B$4))*A144</f>
        <v/>
      </c>
      <c r="J144" s="11">
        <f>MAX(0,($B$3*SIN(RADIANS($B$4))*A144)-(0.5*$B$5*A144^2))</f>
        <v/>
      </c>
    </row>
    <row r="145">
      <c r="A145" s="12">
        <f>A144+$B$6</f>
        <v/>
      </c>
      <c r="B145" s="12">
        <f>B144+D144*$B$6</f>
        <v/>
      </c>
      <c r="C145" s="12">
        <f>MAX(0,C144+E144*$B$6)</f>
        <v/>
      </c>
      <c r="D145" s="12">
        <f>D144+G144*$B$6</f>
        <v/>
      </c>
      <c r="E145" s="12">
        <f>E144+H144*$B$6</f>
        <v/>
      </c>
      <c r="F145" s="12">
        <f>SQRT(D145^2+E145^2)</f>
        <v/>
      </c>
      <c r="G145" s="12">
        <f>IF(C145&gt;0,-($B$12/$B$10)*D145*F145,0)</f>
        <v/>
      </c>
      <c r="H145" s="12">
        <f>IF(C145&gt;0,-$B$5-($B$12/$B$10)*E145*F145,0)</f>
        <v/>
      </c>
      <c r="I145" s="12">
        <f>$B$3*COS(RADIANS($B$4))*A145</f>
        <v/>
      </c>
      <c r="J145" s="12">
        <f>MAX(0,($B$3*SIN(RADIANS($B$4))*A145)-(0.5*$B$5*A145^2))</f>
        <v/>
      </c>
    </row>
    <row r="146">
      <c r="A146" s="11">
        <f>A145+$B$6</f>
        <v/>
      </c>
      <c r="B146" s="11">
        <f>B145+D145*$B$6</f>
        <v/>
      </c>
      <c r="C146" s="11">
        <f>MAX(0,C145+E145*$B$6)</f>
        <v/>
      </c>
      <c r="D146" s="11">
        <f>D145+G145*$B$6</f>
        <v/>
      </c>
      <c r="E146" s="11">
        <f>E145+H145*$B$6</f>
        <v/>
      </c>
      <c r="F146" s="11">
        <f>SQRT(D146^2+E146^2)</f>
        <v/>
      </c>
      <c r="G146" s="11">
        <f>IF(C146&gt;0,-($B$12/$B$10)*D146*F146,0)</f>
        <v/>
      </c>
      <c r="H146" s="11">
        <f>IF(C146&gt;0,-$B$5-($B$12/$B$10)*E146*F146,0)</f>
        <v/>
      </c>
      <c r="I146" s="11">
        <f>$B$3*COS(RADIANS($B$4))*A146</f>
        <v/>
      </c>
      <c r="J146" s="11">
        <f>MAX(0,($B$3*SIN(RADIANS($B$4))*A146)-(0.5*$B$5*A146^2))</f>
        <v/>
      </c>
    </row>
    <row r="147">
      <c r="A147" s="12">
        <f>A146+$B$6</f>
        <v/>
      </c>
      <c r="B147" s="12">
        <f>B146+D146*$B$6</f>
        <v/>
      </c>
      <c r="C147" s="12">
        <f>MAX(0,C146+E146*$B$6)</f>
        <v/>
      </c>
      <c r="D147" s="12">
        <f>D146+G146*$B$6</f>
        <v/>
      </c>
      <c r="E147" s="12">
        <f>E146+H146*$B$6</f>
        <v/>
      </c>
      <c r="F147" s="12">
        <f>SQRT(D147^2+E147^2)</f>
        <v/>
      </c>
      <c r="G147" s="12">
        <f>IF(C147&gt;0,-($B$12/$B$10)*D147*F147,0)</f>
        <v/>
      </c>
      <c r="H147" s="12">
        <f>IF(C147&gt;0,-$B$5-($B$12/$B$10)*E147*F147,0)</f>
        <v/>
      </c>
      <c r="I147" s="12">
        <f>$B$3*COS(RADIANS($B$4))*A147</f>
        <v/>
      </c>
      <c r="J147" s="12">
        <f>MAX(0,($B$3*SIN(RADIANS($B$4))*A147)-(0.5*$B$5*A147^2))</f>
        <v/>
      </c>
    </row>
    <row r="148">
      <c r="A148" s="11">
        <f>A147+$B$6</f>
        <v/>
      </c>
      <c r="B148" s="11">
        <f>B147+D147*$B$6</f>
        <v/>
      </c>
      <c r="C148" s="11">
        <f>MAX(0,C147+E147*$B$6)</f>
        <v/>
      </c>
      <c r="D148" s="11">
        <f>D147+G147*$B$6</f>
        <v/>
      </c>
      <c r="E148" s="11">
        <f>E147+H147*$B$6</f>
        <v/>
      </c>
      <c r="F148" s="11">
        <f>SQRT(D148^2+E148^2)</f>
        <v/>
      </c>
      <c r="G148" s="11">
        <f>IF(C148&gt;0,-($B$12/$B$10)*D148*F148,0)</f>
        <v/>
      </c>
      <c r="H148" s="11">
        <f>IF(C148&gt;0,-$B$5-($B$12/$B$10)*E148*F148,0)</f>
        <v/>
      </c>
      <c r="I148" s="11">
        <f>$B$3*COS(RADIANS($B$4))*A148</f>
        <v/>
      </c>
      <c r="J148" s="11">
        <f>MAX(0,($B$3*SIN(RADIANS($B$4))*A148)-(0.5*$B$5*A148^2))</f>
        <v/>
      </c>
    </row>
    <row r="149">
      <c r="A149" s="12">
        <f>A148+$B$6</f>
        <v/>
      </c>
      <c r="B149" s="12">
        <f>B148+D148*$B$6</f>
        <v/>
      </c>
      <c r="C149" s="12">
        <f>MAX(0,C148+E148*$B$6)</f>
        <v/>
      </c>
      <c r="D149" s="12">
        <f>D148+G148*$B$6</f>
        <v/>
      </c>
      <c r="E149" s="12">
        <f>E148+H148*$B$6</f>
        <v/>
      </c>
      <c r="F149" s="12">
        <f>SQRT(D149^2+E149^2)</f>
        <v/>
      </c>
      <c r="G149" s="12">
        <f>IF(C149&gt;0,-($B$12/$B$10)*D149*F149,0)</f>
        <v/>
      </c>
      <c r="H149" s="12">
        <f>IF(C149&gt;0,-$B$5-($B$12/$B$10)*E149*F149,0)</f>
        <v/>
      </c>
      <c r="I149" s="12">
        <f>$B$3*COS(RADIANS($B$4))*A149</f>
        <v/>
      </c>
      <c r="J149" s="12">
        <f>MAX(0,($B$3*SIN(RADIANS($B$4))*A149)-(0.5*$B$5*A149^2))</f>
        <v/>
      </c>
    </row>
    <row r="150">
      <c r="A150" s="11">
        <f>A149+$B$6</f>
        <v/>
      </c>
      <c r="B150" s="11">
        <f>B149+D149*$B$6</f>
        <v/>
      </c>
      <c r="C150" s="11">
        <f>MAX(0,C149+E149*$B$6)</f>
        <v/>
      </c>
      <c r="D150" s="11">
        <f>D149+G149*$B$6</f>
        <v/>
      </c>
      <c r="E150" s="11">
        <f>E149+H149*$B$6</f>
        <v/>
      </c>
      <c r="F150" s="11">
        <f>SQRT(D150^2+E150^2)</f>
        <v/>
      </c>
      <c r="G150" s="11">
        <f>IF(C150&gt;0,-($B$12/$B$10)*D150*F150,0)</f>
        <v/>
      </c>
      <c r="H150" s="11">
        <f>IF(C150&gt;0,-$B$5-($B$12/$B$10)*E150*F150,0)</f>
        <v/>
      </c>
      <c r="I150" s="11">
        <f>$B$3*COS(RADIANS($B$4))*A150</f>
        <v/>
      </c>
      <c r="J150" s="11">
        <f>MAX(0,($B$3*SIN(RADIANS($B$4))*A150)-(0.5*$B$5*A150^2))</f>
        <v/>
      </c>
    </row>
    <row r="151">
      <c r="A151" s="12">
        <f>A150+$B$6</f>
        <v/>
      </c>
      <c r="B151" s="12">
        <f>B150+D150*$B$6</f>
        <v/>
      </c>
      <c r="C151" s="12">
        <f>MAX(0,C150+E150*$B$6)</f>
        <v/>
      </c>
      <c r="D151" s="12">
        <f>D150+G150*$B$6</f>
        <v/>
      </c>
      <c r="E151" s="12">
        <f>E150+H150*$B$6</f>
        <v/>
      </c>
      <c r="F151" s="12">
        <f>SQRT(D151^2+E151^2)</f>
        <v/>
      </c>
      <c r="G151" s="12">
        <f>IF(C151&gt;0,-($B$12/$B$10)*D151*F151,0)</f>
        <v/>
      </c>
      <c r="H151" s="12">
        <f>IF(C151&gt;0,-$B$5-($B$12/$B$10)*E151*F151,0)</f>
        <v/>
      </c>
      <c r="I151" s="12">
        <f>$B$3*COS(RADIANS($B$4))*A151</f>
        <v/>
      </c>
      <c r="J151" s="12">
        <f>MAX(0,($B$3*SIN(RADIANS($B$4))*A151)-(0.5*$B$5*A151^2))</f>
        <v/>
      </c>
    </row>
    <row r="152">
      <c r="A152" s="11">
        <f>A151+$B$6</f>
        <v/>
      </c>
      <c r="B152" s="11">
        <f>B151+D151*$B$6</f>
        <v/>
      </c>
      <c r="C152" s="11">
        <f>MAX(0,C151+E151*$B$6)</f>
        <v/>
      </c>
      <c r="D152" s="11">
        <f>D151+G151*$B$6</f>
        <v/>
      </c>
      <c r="E152" s="11">
        <f>E151+H151*$B$6</f>
        <v/>
      </c>
      <c r="F152" s="11">
        <f>SQRT(D152^2+E152^2)</f>
        <v/>
      </c>
      <c r="G152" s="11">
        <f>IF(C152&gt;0,-($B$12/$B$10)*D152*F152,0)</f>
        <v/>
      </c>
      <c r="H152" s="11">
        <f>IF(C152&gt;0,-$B$5-($B$12/$B$10)*E152*F152,0)</f>
        <v/>
      </c>
      <c r="I152" s="11">
        <f>$B$3*COS(RADIANS($B$4))*A152</f>
        <v/>
      </c>
      <c r="J152" s="11">
        <f>MAX(0,($B$3*SIN(RADIANS($B$4))*A152)-(0.5*$B$5*A152^2))</f>
        <v/>
      </c>
    </row>
    <row r="153">
      <c r="A153" s="12">
        <f>A152+$B$6</f>
        <v/>
      </c>
      <c r="B153" s="12">
        <f>B152+D152*$B$6</f>
        <v/>
      </c>
      <c r="C153" s="12">
        <f>MAX(0,C152+E152*$B$6)</f>
        <v/>
      </c>
      <c r="D153" s="12">
        <f>D152+G152*$B$6</f>
        <v/>
      </c>
      <c r="E153" s="12">
        <f>E152+H152*$B$6</f>
        <v/>
      </c>
      <c r="F153" s="12">
        <f>SQRT(D153^2+E153^2)</f>
        <v/>
      </c>
      <c r="G153" s="12">
        <f>IF(C153&gt;0,-($B$12/$B$10)*D153*F153,0)</f>
        <v/>
      </c>
      <c r="H153" s="12">
        <f>IF(C153&gt;0,-$B$5-($B$12/$B$10)*E153*F153,0)</f>
        <v/>
      </c>
      <c r="I153" s="12">
        <f>$B$3*COS(RADIANS($B$4))*A153</f>
        <v/>
      </c>
      <c r="J153" s="12">
        <f>MAX(0,($B$3*SIN(RADIANS($B$4))*A153)-(0.5*$B$5*A153^2))</f>
        <v/>
      </c>
    </row>
    <row r="154">
      <c r="A154" s="11">
        <f>A153+$B$6</f>
        <v/>
      </c>
      <c r="B154" s="11">
        <f>B153+D153*$B$6</f>
        <v/>
      </c>
      <c r="C154" s="11">
        <f>MAX(0,C153+E153*$B$6)</f>
        <v/>
      </c>
      <c r="D154" s="11">
        <f>D153+G153*$B$6</f>
        <v/>
      </c>
      <c r="E154" s="11">
        <f>E153+H153*$B$6</f>
        <v/>
      </c>
      <c r="F154" s="11">
        <f>SQRT(D154^2+E154^2)</f>
        <v/>
      </c>
      <c r="G154" s="11">
        <f>IF(C154&gt;0,-($B$12/$B$10)*D154*F154,0)</f>
        <v/>
      </c>
      <c r="H154" s="11">
        <f>IF(C154&gt;0,-$B$5-($B$12/$B$10)*E154*F154,0)</f>
        <v/>
      </c>
      <c r="I154" s="11">
        <f>$B$3*COS(RADIANS($B$4))*A154</f>
        <v/>
      </c>
      <c r="J154" s="11">
        <f>MAX(0,($B$3*SIN(RADIANS($B$4))*A154)-(0.5*$B$5*A154^2))</f>
        <v/>
      </c>
    </row>
    <row r="155">
      <c r="A155" s="12">
        <f>A154+$B$6</f>
        <v/>
      </c>
      <c r="B155" s="12">
        <f>B154+D154*$B$6</f>
        <v/>
      </c>
      <c r="C155" s="12">
        <f>MAX(0,C154+E154*$B$6)</f>
        <v/>
      </c>
      <c r="D155" s="12">
        <f>D154+G154*$B$6</f>
        <v/>
      </c>
      <c r="E155" s="12">
        <f>E154+H154*$B$6</f>
        <v/>
      </c>
      <c r="F155" s="12">
        <f>SQRT(D155^2+E155^2)</f>
        <v/>
      </c>
      <c r="G155" s="12">
        <f>IF(C155&gt;0,-($B$12/$B$10)*D155*F155,0)</f>
        <v/>
      </c>
      <c r="H155" s="12">
        <f>IF(C155&gt;0,-$B$5-($B$12/$B$10)*E155*F155,0)</f>
        <v/>
      </c>
      <c r="I155" s="12">
        <f>$B$3*COS(RADIANS($B$4))*A155</f>
        <v/>
      </c>
      <c r="J155" s="12">
        <f>MAX(0,($B$3*SIN(RADIANS($B$4))*A155)-(0.5*$B$5*A155^2))</f>
        <v/>
      </c>
    </row>
    <row r="156">
      <c r="A156" s="11">
        <f>A155+$B$6</f>
        <v/>
      </c>
      <c r="B156" s="11">
        <f>B155+D155*$B$6</f>
        <v/>
      </c>
      <c r="C156" s="11">
        <f>MAX(0,C155+E155*$B$6)</f>
        <v/>
      </c>
      <c r="D156" s="11">
        <f>D155+G155*$B$6</f>
        <v/>
      </c>
      <c r="E156" s="11">
        <f>E155+H155*$B$6</f>
        <v/>
      </c>
      <c r="F156" s="11">
        <f>SQRT(D156^2+E156^2)</f>
        <v/>
      </c>
      <c r="G156" s="11">
        <f>IF(C156&gt;0,-($B$12/$B$10)*D156*F156,0)</f>
        <v/>
      </c>
      <c r="H156" s="11">
        <f>IF(C156&gt;0,-$B$5-($B$12/$B$10)*E156*F156,0)</f>
        <v/>
      </c>
      <c r="I156" s="11">
        <f>$B$3*COS(RADIANS($B$4))*A156</f>
        <v/>
      </c>
      <c r="J156" s="11">
        <f>MAX(0,($B$3*SIN(RADIANS($B$4))*A156)-(0.5*$B$5*A156^2))</f>
        <v/>
      </c>
    </row>
    <row r="157">
      <c r="A157" s="12">
        <f>A156+$B$6</f>
        <v/>
      </c>
      <c r="B157" s="12">
        <f>B156+D156*$B$6</f>
        <v/>
      </c>
      <c r="C157" s="12">
        <f>MAX(0,C156+E156*$B$6)</f>
        <v/>
      </c>
      <c r="D157" s="12">
        <f>D156+G156*$B$6</f>
        <v/>
      </c>
      <c r="E157" s="12">
        <f>E156+H156*$B$6</f>
        <v/>
      </c>
      <c r="F157" s="12">
        <f>SQRT(D157^2+E157^2)</f>
        <v/>
      </c>
      <c r="G157" s="12">
        <f>IF(C157&gt;0,-($B$12/$B$10)*D157*F157,0)</f>
        <v/>
      </c>
      <c r="H157" s="12">
        <f>IF(C157&gt;0,-$B$5-($B$12/$B$10)*E157*F157,0)</f>
        <v/>
      </c>
      <c r="I157" s="12">
        <f>$B$3*COS(RADIANS($B$4))*A157</f>
        <v/>
      </c>
      <c r="J157" s="12">
        <f>MAX(0,($B$3*SIN(RADIANS($B$4))*A157)-(0.5*$B$5*A157^2))</f>
        <v/>
      </c>
    </row>
    <row r="158">
      <c r="A158" s="11">
        <f>A157+$B$6</f>
        <v/>
      </c>
      <c r="B158" s="11">
        <f>B157+D157*$B$6</f>
        <v/>
      </c>
      <c r="C158" s="11">
        <f>MAX(0,C157+E157*$B$6)</f>
        <v/>
      </c>
      <c r="D158" s="11">
        <f>D157+G157*$B$6</f>
        <v/>
      </c>
      <c r="E158" s="11">
        <f>E157+H157*$B$6</f>
        <v/>
      </c>
      <c r="F158" s="11">
        <f>SQRT(D158^2+E158^2)</f>
        <v/>
      </c>
      <c r="G158" s="11">
        <f>IF(C158&gt;0,-($B$12/$B$10)*D158*F158,0)</f>
        <v/>
      </c>
      <c r="H158" s="11">
        <f>IF(C158&gt;0,-$B$5-($B$12/$B$10)*E158*F158,0)</f>
        <v/>
      </c>
      <c r="I158" s="11">
        <f>$B$3*COS(RADIANS($B$4))*A158</f>
        <v/>
      </c>
      <c r="J158" s="11">
        <f>MAX(0,($B$3*SIN(RADIANS($B$4))*A158)-(0.5*$B$5*A158^2))</f>
        <v/>
      </c>
    </row>
    <row r="159">
      <c r="A159" s="12">
        <f>A158+$B$6</f>
        <v/>
      </c>
      <c r="B159" s="12">
        <f>B158+D158*$B$6</f>
        <v/>
      </c>
      <c r="C159" s="12">
        <f>MAX(0,C158+E158*$B$6)</f>
        <v/>
      </c>
      <c r="D159" s="12">
        <f>D158+G158*$B$6</f>
        <v/>
      </c>
      <c r="E159" s="12">
        <f>E158+H158*$B$6</f>
        <v/>
      </c>
      <c r="F159" s="12">
        <f>SQRT(D159^2+E159^2)</f>
        <v/>
      </c>
      <c r="G159" s="12">
        <f>IF(C159&gt;0,-($B$12/$B$10)*D159*F159,0)</f>
        <v/>
      </c>
      <c r="H159" s="12">
        <f>IF(C159&gt;0,-$B$5-($B$12/$B$10)*E159*F159,0)</f>
        <v/>
      </c>
      <c r="I159" s="12">
        <f>$B$3*COS(RADIANS($B$4))*A159</f>
        <v/>
      </c>
      <c r="J159" s="12">
        <f>MAX(0,($B$3*SIN(RADIANS($B$4))*A159)-(0.5*$B$5*A159^2))</f>
        <v/>
      </c>
    </row>
    <row r="160">
      <c r="A160" s="11">
        <f>A159+$B$6</f>
        <v/>
      </c>
      <c r="B160" s="11">
        <f>B159+D159*$B$6</f>
        <v/>
      </c>
      <c r="C160" s="11">
        <f>MAX(0,C159+E159*$B$6)</f>
        <v/>
      </c>
      <c r="D160" s="11">
        <f>D159+G159*$B$6</f>
        <v/>
      </c>
      <c r="E160" s="11">
        <f>E159+H159*$B$6</f>
        <v/>
      </c>
      <c r="F160" s="11">
        <f>SQRT(D160^2+E160^2)</f>
        <v/>
      </c>
      <c r="G160" s="11">
        <f>IF(C160&gt;0,-($B$12/$B$10)*D160*F160,0)</f>
        <v/>
      </c>
      <c r="H160" s="11">
        <f>IF(C160&gt;0,-$B$5-($B$12/$B$10)*E160*F160,0)</f>
        <v/>
      </c>
      <c r="I160" s="11">
        <f>$B$3*COS(RADIANS($B$4))*A160</f>
        <v/>
      </c>
      <c r="J160" s="11">
        <f>MAX(0,($B$3*SIN(RADIANS($B$4))*A160)-(0.5*$B$5*A160^2))</f>
        <v/>
      </c>
    </row>
    <row r="161">
      <c r="A161" s="12">
        <f>A160+$B$6</f>
        <v/>
      </c>
      <c r="B161" s="12">
        <f>B160+D160*$B$6</f>
        <v/>
      </c>
      <c r="C161" s="12">
        <f>MAX(0,C160+E160*$B$6)</f>
        <v/>
      </c>
      <c r="D161" s="12">
        <f>D160+G160*$B$6</f>
        <v/>
      </c>
      <c r="E161" s="12">
        <f>E160+H160*$B$6</f>
        <v/>
      </c>
      <c r="F161" s="12">
        <f>SQRT(D161^2+E161^2)</f>
        <v/>
      </c>
      <c r="G161" s="12">
        <f>IF(C161&gt;0,-($B$12/$B$10)*D161*F161,0)</f>
        <v/>
      </c>
      <c r="H161" s="12">
        <f>IF(C161&gt;0,-$B$5-($B$12/$B$10)*E161*F161,0)</f>
        <v/>
      </c>
      <c r="I161" s="12">
        <f>$B$3*COS(RADIANS($B$4))*A161</f>
        <v/>
      </c>
      <c r="J161" s="12">
        <f>MAX(0,($B$3*SIN(RADIANS($B$4))*A161)-(0.5*$B$5*A161^2))</f>
        <v/>
      </c>
    </row>
    <row r="162">
      <c r="A162" s="11">
        <f>A161+$B$6</f>
        <v/>
      </c>
      <c r="B162" s="11">
        <f>B161+D161*$B$6</f>
        <v/>
      </c>
      <c r="C162" s="11">
        <f>MAX(0,C161+E161*$B$6)</f>
        <v/>
      </c>
      <c r="D162" s="11">
        <f>D161+G161*$B$6</f>
        <v/>
      </c>
      <c r="E162" s="11">
        <f>E161+H161*$B$6</f>
        <v/>
      </c>
      <c r="F162" s="11">
        <f>SQRT(D162^2+E162^2)</f>
        <v/>
      </c>
      <c r="G162" s="11">
        <f>IF(C162&gt;0,-($B$12/$B$10)*D162*F162,0)</f>
        <v/>
      </c>
      <c r="H162" s="11">
        <f>IF(C162&gt;0,-$B$5-($B$12/$B$10)*E162*F162,0)</f>
        <v/>
      </c>
      <c r="I162" s="11">
        <f>$B$3*COS(RADIANS($B$4))*A162</f>
        <v/>
      </c>
      <c r="J162" s="11">
        <f>MAX(0,($B$3*SIN(RADIANS($B$4))*A162)-(0.5*$B$5*A162^2))</f>
        <v/>
      </c>
    </row>
    <row r="163">
      <c r="A163" s="12">
        <f>A162+$B$6</f>
        <v/>
      </c>
      <c r="B163" s="12">
        <f>B162+D162*$B$6</f>
        <v/>
      </c>
      <c r="C163" s="12">
        <f>MAX(0,C162+E162*$B$6)</f>
        <v/>
      </c>
      <c r="D163" s="12">
        <f>D162+G162*$B$6</f>
        <v/>
      </c>
      <c r="E163" s="12">
        <f>E162+H162*$B$6</f>
        <v/>
      </c>
      <c r="F163" s="12">
        <f>SQRT(D163^2+E163^2)</f>
        <v/>
      </c>
      <c r="G163" s="12">
        <f>IF(C163&gt;0,-($B$12/$B$10)*D163*F163,0)</f>
        <v/>
      </c>
      <c r="H163" s="12">
        <f>IF(C163&gt;0,-$B$5-($B$12/$B$10)*E163*F163,0)</f>
        <v/>
      </c>
      <c r="I163" s="12">
        <f>$B$3*COS(RADIANS($B$4))*A163</f>
        <v/>
      </c>
      <c r="J163" s="12">
        <f>MAX(0,($B$3*SIN(RADIANS($B$4))*A163)-(0.5*$B$5*A163^2))</f>
        <v/>
      </c>
    </row>
    <row r="164">
      <c r="A164" s="11">
        <f>A163+$B$6</f>
        <v/>
      </c>
      <c r="B164" s="11">
        <f>B163+D163*$B$6</f>
        <v/>
      </c>
      <c r="C164" s="11">
        <f>MAX(0,C163+E163*$B$6)</f>
        <v/>
      </c>
      <c r="D164" s="11">
        <f>D163+G163*$B$6</f>
        <v/>
      </c>
      <c r="E164" s="11">
        <f>E163+H163*$B$6</f>
        <v/>
      </c>
      <c r="F164" s="11">
        <f>SQRT(D164^2+E164^2)</f>
        <v/>
      </c>
      <c r="G164" s="11">
        <f>IF(C164&gt;0,-($B$12/$B$10)*D164*F164,0)</f>
        <v/>
      </c>
      <c r="H164" s="11">
        <f>IF(C164&gt;0,-$B$5-($B$12/$B$10)*E164*F164,0)</f>
        <v/>
      </c>
      <c r="I164" s="11">
        <f>$B$3*COS(RADIANS($B$4))*A164</f>
        <v/>
      </c>
      <c r="J164" s="11">
        <f>MAX(0,($B$3*SIN(RADIANS($B$4))*A164)-(0.5*$B$5*A164^2))</f>
        <v/>
      </c>
    </row>
    <row r="165">
      <c r="A165" s="12">
        <f>A164+$B$6</f>
        <v/>
      </c>
      <c r="B165" s="12">
        <f>B164+D164*$B$6</f>
        <v/>
      </c>
      <c r="C165" s="12">
        <f>MAX(0,C164+E164*$B$6)</f>
        <v/>
      </c>
      <c r="D165" s="12">
        <f>D164+G164*$B$6</f>
        <v/>
      </c>
      <c r="E165" s="12">
        <f>E164+H164*$B$6</f>
        <v/>
      </c>
      <c r="F165" s="12">
        <f>SQRT(D165^2+E165^2)</f>
        <v/>
      </c>
      <c r="G165" s="12">
        <f>IF(C165&gt;0,-($B$12/$B$10)*D165*F165,0)</f>
        <v/>
      </c>
      <c r="H165" s="12">
        <f>IF(C165&gt;0,-$B$5-($B$12/$B$10)*E165*F165,0)</f>
        <v/>
      </c>
      <c r="I165" s="12">
        <f>$B$3*COS(RADIANS($B$4))*A165</f>
        <v/>
      </c>
      <c r="J165" s="12">
        <f>MAX(0,($B$3*SIN(RADIANS($B$4))*A165)-(0.5*$B$5*A165^2))</f>
        <v/>
      </c>
    </row>
    <row r="166">
      <c r="A166" s="11">
        <f>A165+$B$6</f>
        <v/>
      </c>
      <c r="B166" s="11">
        <f>B165+D165*$B$6</f>
        <v/>
      </c>
      <c r="C166" s="11">
        <f>MAX(0,C165+E165*$B$6)</f>
        <v/>
      </c>
      <c r="D166" s="11">
        <f>D165+G165*$B$6</f>
        <v/>
      </c>
      <c r="E166" s="11">
        <f>E165+H165*$B$6</f>
        <v/>
      </c>
      <c r="F166" s="11">
        <f>SQRT(D166^2+E166^2)</f>
        <v/>
      </c>
      <c r="G166" s="11">
        <f>IF(C166&gt;0,-($B$12/$B$10)*D166*F166,0)</f>
        <v/>
      </c>
      <c r="H166" s="11">
        <f>IF(C166&gt;0,-$B$5-($B$12/$B$10)*E166*F166,0)</f>
        <v/>
      </c>
      <c r="I166" s="11">
        <f>$B$3*COS(RADIANS($B$4))*A166</f>
        <v/>
      </c>
      <c r="J166" s="11">
        <f>MAX(0,($B$3*SIN(RADIANS($B$4))*A166)-(0.5*$B$5*A166^2))</f>
        <v/>
      </c>
    </row>
    <row r="167">
      <c r="A167" s="12">
        <f>A166+$B$6</f>
        <v/>
      </c>
      <c r="B167" s="12">
        <f>B166+D166*$B$6</f>
        <v/>
      </c>
      <c r="C167" s="12">
        <f>MAX(0,C166+E166*$B$6)</f>
        <v/>
      </c>
      <c r="D167" s="12">
        <f>D166+G166*$B$6</f>
        <v/>
      </c>
      <c r="E167" s="12">
        <f>E166+H166*$B$6</f>
        <v/>
      </c>
      <c r="F167" s="12">
        <f>SQRT(D167^2+E167^2)</f>
        <v/>
      </c>
      <c r="G167" s="12">
        <f>IF(C167&gt;0,-($B$12/$B$10)*D167*F167,0)</f>
        <v/>
      </c>
      <c r="H167" s="12">
        <f>IF(C167&gt;0,-$B$5-($B$12/$B$10)*E167*F167,0)</f>
        <v/>
      </c>
      <c r="I167" s="12">
        <f>$B$3*COS(RADIANS($B$4))*A167</f>
        <v/>
      </c>
      <c r="J167" s="12">
        <f>MAX(0,($B$3*SIN(RADIANS($B$4))*A167)-(0.5*$B$5*A167^2))</f>
        <v/>
      </c>
    </row>
    <row r="168">
      <c r="A168" s="11">
        <f>A167+$B$6</f>
        <v/>
      </c>
      <c r="B168" s="11">
        <f>B167+D167*$B$6</f>
        <v/>
      </c>
      <c r="C168" s="11">
        <f>MAX(0,C167+E167*$B$6)</f>
        <v/>
      </c>
      <c r="D168" s="11">
        <f>D167+G167*$B$6</f>
        <v/>
      </c>
      <c r="E168" s="11">
        <f>E167+H167*$B$6</f>
        <v/>
      </c>
      <c r="F168" s="11">
        <f>SQRT(D168^2+E168^2)</f>
        <v/>
      </c>
      <c r="G168" s="11">
        <f>IF(C168&gt;0,-($B$12/$B$10)*D168*F168,0)</f>
        <v/>
      </c>
      <c r="H168" s="11">
        <f>IF(C168&gt;0,-$B$5-($B$12/$B$10)*E168*F168,0)</f>
        <v/>
      </c>
      <c r="I168" s="11">
        <f>$B$3*COS(RADIANS($B$4))*A168</f>
        <v/>
      </c>
      <c r="J168" s="11">
        <f>MAX(0,($B$3*SIN(RADIANS($B$4))*A168)-(0.5*$B$5*A168^2))</f>
        <v/>
      </c>
    </row>
    <row r="169">
      <c r="A169" s="12">
        <f>A168+$B$6</f>
        <v/>
      </c>
      <c r="B169" s="12">
        <f>B168+D168*$B$6</f>
        <v/>
      </c>
      <c r="C169" s="12">
        <f>MAX(0,C168+E168*$B$6)</f>
        <v/>
      </c>
      <c r="D169" s="12">
        <f>D168+G168*$B$6</f>
        <v/>
      </c>
      <c r="E169" s="12">
        <f>E168+H168*$B$6</f>
        <v/>
      </c>
      <c r="F169" s="12">
        <f>SQRT(D169^2+E169^2)</f>
        <v/>
      </c>
      <c r="G169" s="12">
        <f>IF(C169&gt;0,-($B$12/$B$10)*D169*F169,0)</f>
        <v/>
      </c>
      <c r="H169" s="12">
        <f>IF(C169&gt;0,-$B$5-($B$12/$B$10)*E169*F169,0)</f>
        <v/>
      </c>
      <c r="I169" s="12">
        <f>$B$3*COS(RADIANS($B$4))*A169</f>
        <v/>
      </c>
      <c r="J169" s="12">
        <f>MAX(0,($B$3*SIN(RADIANS($B$4))*A169)-(0.5*$B$5*A169^2))</f>
        <v/>
      </c>
    </row>
    <row r="170">
      <c r="A170" s="11">
        <f>A169+$B$6</f>
        <v/>
      </c>
      <c r="B170" s="11">
        <f>B169+D169*$B$6</f>
        <v/>
      </c>
      <c r="C170" s="11">
        <f>MAX(0,C169+E169*$B$6)</f>
        <v/>
      </c>
      <c r="D170" s="11">
        <f>D169+G169*$B$6</f>
        <v/>
      </c>
      <c r="E170" s="11">
        <f>E169+H169*$B$6</f>
        <v/>
      </c>
      <c r="F170" s="11">
        <f>SQRT(D170^2+E170^2)</f>
        <v/>
      </c>
      <c r="G170" s="11">
        <f>IF(C170&gt;0,-($B$12/$B$10)*D170*F170,0)</f>
        <v/>
      </c>
      <c r="H170" s="11">
        <f>IF(C170&gt;0,-$B$5-($B$12/$B$10)*E170*F170,0)</f>
        <v/>
      </c>
      <c r="I170" s="11">
        <f>$B$3*COS(RADIANS($B$4))*A170</f>
        <v/>
      </c>
      <c r="J170" s="11">
        <f>MAX(0,($B$3*SIN(RADIANS($B$4))*A170)-(0.5*$B$5*A170^2))</f>
        <v/>
      </c>
    </row>
    <row r="171">
      <c r="A171" s="12">
        <f>A170+$B$6</f>
        <v/>
      </c>
      <c r="B171" s="12">
        <f>B170+D170*$B$6</f>
        <v/>
      </c>
      <c r="C171" s="12">
        <f>MAX(0,C170+E170*$B$6)</f>
        <v/>
      </c>
      <c r="D171" s="12">
        <f>D170+G170*$B$6</f>
        <v/>
      </c>
      <c r="E171" s="12">
        <f>E170+H170*$B$6</f>
        <v/>
      </c>
      <c r="F171" s="12">
        <f>SQRT(D171^2+E171^2)</f>
        <v/>
      </c>
      <c r="G171" s="12">
        <f>IF(C171&gt;0,-($B$12/$B$10)*D171*F171,0)</f>
        <v/>
      </c>
      <c r="H171" s="12">
        <f>IF(C171&gt;0,-$B$5-($B$12/$B$10)*E171*F171,0)</f>
        <v/>
      </c>
      <c r="I171" s="12">
        <f>$B$3*COS(RADIANS($B$4))*A171</f>
        <v/>
      </c>
      <c r="J171" s="12">
        <f>MAX(0,($B$3*SIN(RADIANS($B$4))*A171)-(0.5*$B$5*A171^2))</f>
        <v/>
      </c>
    </row>
    <row r="172">
      <c r="A172" s="11">
        <f>A171+$B$6</f>
        <v/>
      </c>
      <c r="B172" s="11">
        <f>B171+D171*$B$6</f>
        <v/>
      </c>
      <c r="C172" s="11">
        <f>MAX(0,C171+E171*$B$6)</f>
        <v/>
      </c>
      <c r="D172" s="11">
        <f>D171+G171*$B$6</f>
        <v/>
      </c>
      <c r="E172" s="11">
        <f>E171+H171*$B$6</f>
        <v/>
      </c>
      <c r="F172" s="11">
        <f>SQRT(D172^2+E172^2)</f>
        <v/>
      </c>
      <c r="G172" s="11">
        <f>IF(C172&gt;0,-($B$12/$B$10)*D172*F172,0)</f>
        <v/>
      </c>
      <c r="H172" s="11">
        <f>IF(C172&gt;0,-$B$5-($B$12/$B$10)*E172*F172,0)</f>
        <v/>
      </c>
      <c r="I172" s="11">
        <f>$B$3*COS(RADIANS($B$4))*A172</f>
        <v/>
      </c>
      <c r="J172" s="11">
        <f>MAX(0,($B$3*SIN(RADIANS($B$4))*A172)-(0.5*$B$5*A172^2))</f>
        <v/>
      </c>
    </row>
    <row r="173">
      <c r="A173" s="12">
        <f>A172+$B$6</f>
        <v/>
      </c>
      <c r="B173" s="12">
        <f>B172+D172*$B$6</f>
        <v/>
      </c>
      <c r="C173" s="12">
        <f>MAX(0,C172+E172*$B$6)</f>
        <v/>
      </c>
      <c r="D173" s="12">
        <f>D172+G172*$B$6</f>
        <v/>
      </c>
      <c r="E173" s="12">
        <f>E172+H172*$B$6</f>
        <v/>
      </c>
      <c r="F173" s="12">
        <f>SQRT(D173^2+E173^2)</f>
        <v/>
      </c>
      <c r="G173" s="12">
        <f>IF(C173&gt;0,-($B$12/$B$10)*D173*F173,0)</f>
        <v/>
      </c>
      <c r="H173" s="12">
        <f>IF(C173&gt;0,-$B$5-($B$12/$B$10)*E173*F173,0)</f>
        <v/>
      </c>
      <c r="I173" s="12">
        <f>$B$3*COS(RADIANS($B$4))*A173</f>
        <v/>
      </c>
      <c r="J173" s="12">
        <f>MAX(0,($B$3*SIN(RADIANS($B$4))*A173)-(0.5*$B$5*A173^2))</f>
        <v/>
      </c>
    </row>
    <row r="174">
      <c r="A174" s="11">
        <f>A173+$B$6</f>
        <v/>
      </c>
      <c r="B174" s="11">
        <f>B173+D173*$B$6</f>
        <v/>
      </c>
      <c r="C174" s="11">
        <f>MAX(0,C173+E173*$B$6)</f>
        <v/>
      </c>
      <c r="D174" s="11">
        <f>D173+G173*$B$6</f>
        <v/>
      </c>
      <c r="E174" s="11">
        <f>E173+H173*$B$6</f>
        <v/>
      </c>
      <c r="F174" s="11">
        <f>SQRT(D174^2+E174^2)</f>
        <v/>
      </c>
      <c r="G174" s="11">
        <f>IF(C174&gt;0,-($B$12/$B$10)*D174*F174,0)</f>
        <v/>
      </c>
      <c r="H174" s="11">
        <f>IF(C174&gt;0,-$B$5-($B$12/$B$10)*E174*F174,0)</f>
        <v/>
      </c>
      <c r="I174" s="11">
        <f>$B$3*COS(RADIANS($B$4))*A174</f>
        <v/>
      </c>
      <c r="J174" s="11">
        <f>MAX(0,($B$3*SIN(RADIANS($B$4))*A174)-(0.5*$B$5*A174^2))</f>
        <v/>
      </c>
    </row>
    <row r="175">
      <c r="A175" s="12">
        <f>A174+$B$6</f>
        <v/>
      </c>
      <c r="B175" s="12">
        <f>B174+D174*$B$6</f>
        <v/>
      </c>
      <c r="C175" s="12">
        <f>MAX(0,C174+E174*$B$6)</f>
        <v/>
      </c>
      <c r="D175" s="12">
        <f>D174+G174*$B$6</f>
        <v/>
      </c>
      <c r="E175" s="12">
        <f>E174+H174*$B$6</f>
        <v/>
      </c>
      <c r="F175" s="12">
        <f>SQRT(D175^2+E175^2)</f>
        <v/>
      </c>
      <c r="G175" s="12">
        <f>IF(C175&gt;0,-($B$12/$B$10)*D175*F175,0)</f>
        <v/>
      </c>
      <c r="H175" s="12">
        <f>IF(C175&gt;0,-$B$5-($B$12/$B$10)*E175*F175,0)</f>
        <v/>
      </c>
      <c r="I175" s="12">
        <f>$B$3*COS(RADIANS($B$4))*A175</f>
        <v/>
      </c>
      <c r="J175" s="12">
        <f>MAX(0,($B$3*SIN(RADIANS($B$4))*A175)-(0.5*$B$5*A175^2))</f>
        <v/>
      </c>
    </row>
    <row r="176">
      <c r="A176" s="11">
        <f>A175+$B$6</f>
        <v/>
      </c>
      <c r="B176" s="11">
        <f>B175+D175*$B$6</f>
        <v/>
      </c>
      <c r="C176" s="11">
        <f>MAX(0,C175+E175*$B$6)</f>
        <v/>
      </c>
      <c r="D176" s="11">
        <f>D175+G175*$B$6</f>
        <v/>
      </c>
      <c r="E176" s="11">
        <f>E175+H175*$B$6</f>
        <v/>
      </c>
      <c r="F176" s="11">
        <f>SQRT(D176^2+E176^2)</f>
        <v/>
      </c>
      <c r="G176" s="11">
        <f>IF(C176&gt;0,-($B$12/$B$10)*D176*F176,0)</f>
        <v/>
      </c>
      <c r="H176" s="11">
        <f>IF(C176&gt;0,-$B$5-($B$12/$B$10)*E176*F176,0)</f>
        <v/>
      </c>
      <c r="I176" s="11">
        <f>$B$3*COS(RADIANS($B$4))*A176</f>
        <v/>
      </c>
      <c r="J176" s="11">
        <f>MAX(0,($B$3*SIN(RADIANS($B$4))*A176)-(0.5*$B$5*A176^2))</f>
        <v/>
      </c>
    </row>
    <row r="177">
      <c r="A177" s="12">
        <f>A176+$B$6</f>
        <v/>
      </c>
      <c r="B177" s="12">
        <f>B176+D176*$B$6</f>
        <v/>
      </c>
      <c r="C177" s="12">
        <f>MAX(0,C176+E176*$B$6)</f>
        <v/>
      </c>
      <c r="D177" s="12">
        <f>D176+G176*$B$6</f>
        <v/>
      </c>
      <c r="E177" s="12">
        <f>E176+H176*$B$6</f>
        <v/>
      </c>
      <c r="F177" s="12">
        <f>SQRT(D177^2+E177^2)</f>
        <v/>
      </c>
      <c r="G177" s="12">
        <f>IF(C177&gt;0,-($B$12/$B$10)*D177*F177,0)</f>
        <v/>
      </c>
      <c r="H177" s="12">
        <f>IF(C177&gt;0,-$B$5-($B$12/$B$10)*E177*F177,0)</f>
        <v/>
      </c>
      <c r="I177" s="12">
        <f>$B$3*COS(RADIANS($B$4))*A177</f>
        <v/>
      </c>
      <c r="J177" s="12">
        <f>MAX(0,($B$3*SIN(RADIANS($B$4))*A177)-(0.5*$B$5*A177^2))</f>
        <v/>
      </c>
    </row>
    <row r="178">
      <c r="A178" s="11">
        <f>A177+$B$6</f>
        <v/>
      </c>
      <c r="B178" s="11">
        <f>B177+D177*$B$6</f>
        <v/>
      </c>
      <c r="C178" s="11">
        <f>MAX(0,C177+E177*$B$6)</f>
        <v/>
      </c>
      <c r="D178" s="11">
        <f>D177+G177*$B$6</f>
        <v/>
      </c>
      <c r="E178" s="11">
        <f>E177+H177*$B$6</f>
        <v/>
      </c>
      <c r="F178" s="11">
        <f>SQRT(D178^2+E178^2)</f>
        <v/>
      </c>
      <c r="G178" s="11">
        <f>IF(C178&gt;0,-($B$12/$B$10)*D178*F178,0)</f>
        <v/>
      </c>
      <c r="H178" s="11">
        <f>IF(C178&gt;0,-$B$5-($B$12/$B$10)*E178*F178,0)</f>
        <v/>
      </c>
      <c r="I178" s="11">
        <f>$B$3*COS(RADIANS($B$4))*A178</f>
        <v/>
      </c>
      <c r="J178" s="11">
        <f>MAX(0,($B$3*SIN(RADIANS($B$4))*A178)-(0.5*$B$5*A178^2))</f>
        <v/>
      </c>
    </row>
    <row r="179">
      <c r="A179" s="12">
        <f>A178+$B$6</f>
        <v/>
      </c>
      <c r="B179" s="12">
        <f>B178+D178*$B$6</f>
        <v/>
      </c>
      <c r="C179" s="12">
        <f>MAX(0,C178+E178*$B$6)</f>
        <v/>
      </c>
      <c r="D179" s="12">
        <f>D178+G178*$B$6</f>
        <v/>
      </c>
      <c r="E179" s="12">
        <f>E178+H178*$B$6</f>
        <v/>
      </c>
      <c r="F179" s="12">
        <f>SQRT(D179^2+E179^2)</f>
        <v/>
      </c>
      <c r="G179" s="12">
        <f>IF(C179&gt;0,-($B$12/$B$10)*D179*F179,0)</f>
        <v/>
      </c>
      <c r="H179" s="12">
        <f>IF(C179&gt;0,-$B$5-($B$12/$B$10)*E179*F179,0)</f>
        <v/>
      </c>
      <c r="I179" s="12">
        <f>$B$3*COS(RADIANS($B$4))*A179</f>
        <v/>
      </c>
      <c r="J179" s="12">
        <f>MAX(0,($B$3*SIN(RADIANS($B$4))*A179)-(0.5*$B$5*A179^2))</f>
        <v/>
      </c>
    </row>
    <row r="180">
      <c r="A180" s="11">
        <f>A179+$B$6</f>
        <v/>
      </c>
      <c r="B180" s="11">
        <f>B179+D179*$B$6</f>
        <v/>
      </c>
      <c r="C180" s="11">
        <f>MAX(0,C179+E179*$B$6)</f>
        <v/>
      </c>
      <c r="D180" s="11">
        <f>D179+G179*$B$6</f>
        <v/>
      </c>
      <c r="E180" s="11">
        <f>E179+H179*$B$6</f>
        <v/>
      </c>
      <c r="F180" s="11">
        <f>SQRT(D180^2+E180^2)</f>
        <v/>
      </c>
      <c r="G180" s="11">
        <f>IF(C180&gt;0,-($B$12/$B$10)*D180*F180,0)</f>
        <v/>
      </c>
      <c r="H180" s="11">
        <f>IF(C180&gt;0,-$B$5-($B$12/$B$10)*E180*F180,0)</f>
        <v/>
      </c>
      <c r="I180" s="11">
        <f>$B$3*COS(RADIANS($B$4))*A180</f>
        <v/>
      </c>
      <c r="J180" s="11">
        <f>MAX(0,($B$3*SIN(RADIANS($B$4))*A180)-(0.5*$B$5*A180^2))</f>
        <v/>
      </c>
    </row>
    <row r="181">
      <c r="A181" s="12">
        <f>A180+$B$6</f>
        <v/>
      </c>
      <c r="B181" s="12">
        <f>B180+D180*$B$6</f>
        <v/>
      </c>
      <c r="C181" s="12">
        <f>MAX(0,C180+E180*$B$6)</f>
        <v/>
      </c>
      <c r="D181" s="12">
        <f>D180+G180*$B$6</f>
        <v/>
      </c>
      <c r="E181" s="12">
        <f>E180+H180*$B$6</f>
        <v/>
      </c>
      <c r="F181" s="12">
        <f>SQRT(D181^2+E181^2)</f>
        <v/>
      </c>
      <c r="G181" s="12">
        <f>IF(C181&gt;0,-($B$12/$B$10)*D181*F181,0)</f>
        <v/>
      </c>
      <c r="H181" s="12">
        <f>IF(C181&gt;0,-$B$5-($B$12/$B$10)*E181*F181,0)</f>
        <v/>
      </c>
      <c r="I181" s="12">
        <f>$B$3*COS(RADIANS($B$4))*A181</f>
        <v/>
      </c>
      <c r="J181" s="12">
        <f>MAX(0,($B$3*SIN(RADIANS($B$4))*A181)-(0.5*$B$5*A181^2))</f>
        <v/>
      </c>
    </row>
    <row r="182">
      <c r="A182" s="11">
        <f>A181+$B$6</f>
        <v/>
      </c>
      <c r="B182" s="11">
        <f>B181+D181*$B$6</f>
        <v/>
      </c>
      <c r="C182" s="11">
        <f>MAX(0,C181+E181*$B$6)</f>
        <v/>
      </c>
      <c r="D182" s="11">
        <f>D181+G181*$B$6</f>
        <v/>
      </c>
      <c r="E182" s="11">
        <f>E181+H181*$B$6</f>
        <v/>
      </c>
      <c r="F182" s="11">
        <f>SQRT(D182^2+E182^2)</f>
        <v/>
      </c>
      <c r="G182" s="11">
        <f>IF(C182&gt;0,-($B$12/$B$10)*D182*F182,0)</f>
        <v/>
      </c>
      <c r="H182" s="11">
        <f>IF(C182&gt;0,-$B$5-($B$12/$B$10)*E182*F182,0)</f>
        <v/>
      </c>
      <c r="I182" s="11">
        <f>$B$3*COS(RADIANS($B$4))*A182</f>
        <v/>
      </c>
      <c r="J182" s="11">
        <f>MAX(0,($B$3*SIN(RADIANS($B$4))*A182)-(0.5*$B$5*A182^2))</f>
        <v/>
      </c>
    </row>
    <row r="183">
      <c r="A183" s="12">
        <f>A182+$B$6</f>
        <v/>
      </c>
      <c r="B183" s="12">
        <f>B182+D182*$B$6</f>
        <v/>
      </c>
      <c r="C183" s="12">
        <f>MAX(0,C182+E182*$B$6)</f>
        <v/>
      </c>
      <c r="D183" s="12">
        <f>D182+G182*$B$6</f>
        <v/>
      </c>
      <c r="E183" s="12">
        <f>E182+H182*$B$6</f>
        <v/>
      </c>
      <c r="F183" s="12">
        <f>SQRT(D183^2+E183^2)</f>
        <v/>
      </c>
      <c r="G183" s="12">
        <f>IF(C183&gt;0,-($B$12/$B$10)*D183*F183,0)</f>
        <v/>
      </c>
      <c r="H183" s="12">
        <f>IF(C183&gt;0,-$B$5-($B$12/$B$10)*E183*F183,0)</f>
        <v/>
      </c>
      <c r="I183" s="12">
        <f>$B$3*COS(RADIANS($B$4))*A183</f>
        <v/>
      </c>
      <c r="J183" s="12">
        <f>MAX(0,($B$3*SIN(RADIANS($B$4))*A183)-(0.5*$B$5*A183^2))</f>
        <v/>
      </c>
    </row>
    <row r="184">
      <c r="A184" s="11">
        <f>A183+$B$6</f>
        <v/>
      </c>
      <c r="B184" s="11">
        <f>B183+D183*$B$6</f>
        <v/>
      </c>
      <c r="C184" s="11">
        <f>MAX(0,C183+E183*$B$6)</f>
        <v/>
      </c>
      <c r="D184" s="11">
        <f>D183+G183*$B$6</f>
        <v/>
      </c>
      <c r="E184" s="11">
        <f>E183+H183*$B$6</f>
        <v/>
      </c>
      <c r="F184" s="11">
        <f>SQRT(D184^2+E184^2)</f>
        <v/>
      </c>
      <c r="G184" s="11">
        <f>IF(C184&gt;0,-($B$12/$B$10)*D184*F184,0)</f>
        <v/>
      </c>
      <c r="H184" s="11">
        <f>IF(C184&gt;0,-$B$5-($B$12/$B$10)*E184*F184,0)</f>
        <v/>
      </c>
      <c r="I184" s="11">
        <f>$B$3*COS(RADIANS($B$4))*A184</f>
        <v/>
      </c>
      <c r="J184" s="11">
        <f>MAX(0,($B$3*SIN(RADIANS($B$4))*A184)-(0.5*$B$5*A184^2))</f>
        <v/>
      </c>
    </row>
    <row r="185">
      <c r="A185" s="12">
        <f>A184+$B$6</f>
        <v/>
      </c>
      <c r="B185" s="12">
        <f>B184+D184*$B$6</f>
        <v/>
      </c>
      <c r="C185" s="12">
        <f>MAX(0,C184+E184*$B$6)</f>
        <v/>
      </c>
      <c r="D185" s="12">
        <f>D184+G184*$B$6</f>
        <v/>
      </c>
      <c r="E185" s="12">
        <f>E184+H184*$B$6</f>
        <v/>
      </c>
      <c r="F185" s="12">
        <f>SQRT(D185^2+E185^2)</f>
        <v/>
      </c>
      <c r="G185" s="12">
        <f>IF(C185&gt;0,-($B$12/$B$10)*D185*F185,0)</f>
        <v/>
      </c>
      <c r="H185" s="12">
        <f>IF(C185&gt;0,-$B$5-($B$12/$B$10)*E185*F185,0)</f>
        <v/>
      </c>
      <c r="I185" s="12">
        <f>$B$3*COS(RADIANS($B$4))*A185</f>
        <v/>
      </c>
      <c r="J185" s="12">
        <f>MAX(0,($B$3*SIN(RADIANS($B$4))*A185)-(0.5*$B$5*A185^2))</f>
        <v/>
      </c>
    </row>
    <row r="186">
      <c r="A186" s="11">
        <f>A185+$B$6</f>
        <v/>
      </c>
      <c r="B186" s="11">
        <f>B185+D185*$B$6</f>
        <v/>
      </c>
      <c r="C186" s="11">
        <f>MAX(0,C185+E185*$B$6)</f>
        <v/>
      </c>
      <c r="D186" s="11">
        <f>D185+G185*$B$6</f>
        <v/>
      </c>
      <c r="E186" s="11">
        <f>E185+H185*$B$6</f>
        <v/>
      </c>
      <c r="F186" s="11">
        <f>SQRT(D186^2+E186^2)</f>
        <v/>
      </c>
      <c r="G186" s="11">
        <f>IF(C186&gt;0,-($B$12/$B$10)*D186*F186,0)</f>
        <v/>
      </c>
      <c r="H186" s="11">
        <f>IF(C186&gt;0,-$B$5-($B$12/$B$10)*E186*F186,0)</f>
        <v/>
      </c>
      <c r="I186" s="11">
        <f>$B$3*COS(RADIANS($B$4))*A186</f>
        <v/>
      </c>
      <c r="J186" s="11">
        <f>MAX(0,($B$3*SIN(RADIANS($B$4))*A186)-(0.5*$B$5*A186^2))</f>
        <v/>
      </c>
    </row>
    <row r="187">
      <c r="A187" s="12">
        <f>A186+$B$6</f>
        <v/>
      </c>
      <c r="B187" s="12">
        <f>B186+D186*$B$6</f>
        <v/>
      </c>
      <c r="C187" s="12">
        <f>MAX(0,C186+E186*$B$6)</f>
        <v/>
      </c>
      <c r="D187" s="12">
        <f>D186+G186*$B$6</f>
        <v/>
      </c>
      <c r="E187" s="12">
        <f>E186+H186*$B$6</f>
        <v/>
      </c>
      <c r="F187" s="12">
        <f>SQRT(D187^2+E187^2)</f>
        <v/>
      </c>
      <c r="G187" s="12">
        <f>IF(C187&gt;0,-($B$12/$B$10)*D187*F187,0)</f>
        <v/>
      </c>
      <c r="H187" s="12">
        <f>IF(C187&gt;0,-$B$5-($B$12/$B$10)*E187*F187,0)</f>
        <v/>
      </c>
      <c r="I187" s="12">
        <f>$B$3*COS(RADIANS($B$4))*A187</f>
        <v/>
      </c>
      <c r="J187" s="12">
        <f>MAX(0,($B$3*SIN(RADIANS($B$4))*A187)-(0.5*$B$5*A187^2))</f>
        <v/>
      </c>
    </row>
    <row r="188">
      <c r="A188" s="11">
        <f>A187+$B$6</f>
        <v/>
      </c>
      <c r="B188" s="11">
        <f>B187+D187*$B$6</f>
        <v/>
      </c>
      <c r="C188" s="11">
        <f>MAX(0,C187+E187*$B$6)</f>
        <v/>
      </c>
      <c r="D188" s="11">
        <f>D187+G187*$B$6</f>
        <v/>
      </c>
      <c r="E188" s="11">
        <f>E187+H187*$B$6</f>
        <v/>
      </c>
      <c r="F188" s="11">
        <f>SQRT(D188^2+E188^2)</f>
        <v/>
      </c>
      <c r="G188" s="11">
        <f>IF(C188&gt;0,-($B$12/$B$10)*D188*F188,0)</f>
        <v/>
      </c>
      <c r="H188" s="11">
        <f>IF(C188&gt;0,-$B$5-($B$12/$B$10)*E188*F188,0)</f>
        <v/>
      </c>
      <c r="I188" s="11">
        <f>$B$3*COS(RADIANS($B$4))*A188</f>
        <v/>
      </c>
      <c r="J188" s="11">
        <f>MAX(0,($B$3*SIN(RADIANS($B$4))*A188)-(0.5*$B$5*A188^2))</f>
        <v/>
      </c>
    </row>
    <row r="189">
      <c r="A189" s="12">
        <f>A188+$B$6</f>
        <v/>
      </c>
      <c r="B189" s="12">
        <f>B188+D188*$B$6</f>
        <v/>
      </c>
      <c r="C189" s="12">
        <f>MAX(0,C188+E188*$B$6)</f>
        <v/>
      </c>
      <c r="D189" s="12">
        <f>D188+G188*$B$6</f>
        <v/>
      </c>
      <c r="E189" s="12">
        <f>E188+H188*$B$6</f>
        <v/>
      </c>
      <c r="F189" s="12">
        <f>SQRT(D189^2+E189^2)</f>
        <v/>
      </c>
      <c r="G189" s="12">
        <f>IF(C189&gt;0,-($B$12/$B$10)*D189*F189,0)</f>
        <v/>
      </c>
      <c r="H189" s="12">
        <f>IF(C189&gt;0,-$B$5-($B$12/$B$10)*E189*F189,0)</f>
        <v/>
      </c>
      <c r="I189" s="12">
        <f>$B$3*COS(RADIANS($B$4))*A189</f>
        <v/>
      </c>
      <c r="J189" s="12">
        <f>MAX(0,($B$3*SIN(RADIANS($B$4))*A189)-(0.5*$B$5*A189^2))</f>
        <v/>
      </c>
    </row>
    <row r="190">
      <c r="A190" s="11">
        <f>A189+$B$6</f>
        <v/>
      </c>
      <c r="B190" s="11">
        <f>B189+D189*$B$6</f>
        <v/>
      </c>
      <c r="C190" s="11">
        <f>MAX(0,C189+E189*$B$6)</f>
        <v/>
      </c>
      <c r="D190" s="11">
        <f>D189+G189*$B$6</f>
        <v/>
      </c>
      <c r="E190" s="11">
        <f>E189+H189*$B$6</f>
        <v/>
      </c>
      <c r="F190" s="11">
        <f>SQRT(D190^2+E190^2)</f>
        <v/>
      </c>
      <c r="G190" s="11">
        <f>IF(C190&gt;0,-($B$12/$B$10)*D190*F190,0)</f>
        <v/>
      </c>
      <c r="H190" s="11">
        <f>IF(C190&gt;0,-$B$5-($B$12/$B$10)*E190*F190,0)</f>
        <v/>
      </c>
      <c r="I190" s="11">
        <f>$B$3*COS(RADIANS($B$4))*A190</f>
        <v/>
      </c>
      <c r="J190" s="11">
        <f>MAX(0,($B$3*SIN(RADIANS($B$4))*A190)-(0.5*$B$5*A190^2))</f>
        <v/>
      </c>
    </row>
    <row r="191">
      <c r="A191" s="12">
        <f>A190+$B$6</f>
        <v/>
      </c>
      <c r="B191" s="12">
        <f>B190+D190*$B$6</f>
        <v/>
      </c>
      <c r="C191" s="12">
        <f>MAX(0,C190+E190*$B$6)</f>
        <v/>
      </c>
      <c r="D191" s="12">
        <f>D190+G190*$B$6</f>
        <v/>
      </c>
      <c r="E191" s="12">
        <f>E190+H190*$B$6</f>
        <v/>
      </c>
      <c r="F191" s="12">
        <f>SQRT(D191^2+E191^2)</f>
        <v/>
      </c>
      <c r="G191" s="12">
        <f>IF(C191&gt;0,-($B$12/$B$10)*D191*F191,0)</f>
        <v/>
      </c>
      <c r="H191" s="12">
        <f>IF(C191&gt;0,-$B$5-($B$12/$B$10)*E191*F191,0)</f>
        <v/>
      </c>
      <c r="I191" s="12">
        <f>$B$3*COS(RADIANS($B$4))*A191</f>
        <v/>
      </c>
      <c r="J191" s="12">
        <f>MAX(0,($B$3*SIN(RADIANS($B$4))*A191)-(0.5*$B$5*A191^2))</f>
        <v/>
      </c>
    </row>
    <row r="192">
      <c r="A192" s="11">
        <f>A191+$B$6</f>
        <v/>
      </c>
      <c r="B192" s="11">
        <f>B191+D191*$B$6</f>
        <v/>
      </c>
      <c r="C192" s="11">
        <f>MAX(0,C191+E191*$B$6)</f>
        <v/>
      </c>
      <c r="D192" s="11">
        <f>D191+G191*$B$6</f>
        <v/>
      </c>
      <c r="E192" s="11">
        <f>E191+H191*$B$6</f>
        <v/>
      </c>
      <c r="F192" s="11">
        <f>SQRT(D192^2+E192^2)</f>
        <v/>
      </c>
      <c r="G192" s="11">
        <f>IF(C192&gt;0,-($B$12/$B$10)*D192*F192,0)</f>
        <v/>
      </c>
      <c r="H192" s="11">
        <f>IF(C192&gt;0,-$B$5-($B$12/$B$10)*E192*F192,0)</f>
        <v/>
      </c>
      <c r="I192" s="11">
        <f>$B$3*COS(RADIANS($B$4))*A192</f>
        <v/>
      </c>
      <c r="J192" s="11">
        <f>MAX(0,($B$3*SIN(RADIANS($B$4))*A192)-(0.5*$B$5*A192^2))</f>
        <v/>
      </c>
    </row>
    <row r="193">
      <c r="A193" s="12">
        <f>A192+$B$6</f>
        <v/>
      </c>
      <c r="B193" s="12">
        <f>B192+D192*$B$6</f>
        <v/>
      </c>
      <c r="C193" s="12">
        <f>MAX(0,C192+E192*$B$6)</f>
        <v/>
      </c>
      <c r="D193" s="12">
        <f>D192+G192*$B$6</f>
        <v/>
      </c>
      <c r="E193" s="12">
        <f>E192+H192*$B$6</f>
        <v/>
      </c>
      <c r="F193" s="12">
        <f>SQRT(D193^2+E193^2)</f>
        <v/>
      </c>
      <c r="G193" s="12">
        <f>IF(C193&gt;0,-($B$12/$B$10)*D193*F193,0)</f>
        <v/>
      </c>
      <c r="H193" s="12">
        <f>IF(C193&gt;0,-$B$5-($B$12/$B$10)*E193*F193,0)</f>
        <v/>
      </c>
      <c r="I193" s="12">
        <f>$B$3*COS(RADIANS($B$4))*A193</f>
        <v/>
      </c>
      <c r="J193" s="12">
        <f>MAX(0,($B$3*SIN(RADIANS($B$4))*A193)-(0.5*$B$5*A193^2))</f>
        <v/>
      </c>
    </row>
    <row r="194">
      <c r="A194" s="11">
        <f>A193+$B$6</f>
        <v/>
      </c>
      <c r="B194" s="11">
        <f>B193+D193*$B$6</f>
        <v/>
      </c>
      <c r="C194" s="11">
        <f>MAX(0,C193+E193*$B$6)</f>
        <v/>
      </c>
      <c r="D194" s="11">
        <f>D193+G193*$B$6</f>
        <v/>
      </c>
      <c r="E194" s="11">
        <f>E193+H193*$B$6</f>
        <v/>
      </c>
      <c r="F194" s="11">
        <f>SQRT(D194^2+E194^2)</f>
        <v/>
      </c>
      <c r="G194" s="11">
        <f>IF(C194&gt;0,-($B$12/$B$10)*D194*F194,0)</f>
        <v/>
      </c>
      <c r="H194" s="11">
        <f>IF(C194&gt;0,-$B$5-($B$12/$B$10)*E194*F194,0)</f>
        <v/>
      </c>
      <c r="I194" s="11">
        <f>$B$3*COS(RADIANS($B$4))*A194</f>
        <v/>
      </c>
      <c r="J194" s="11">
        <f>MAX(0,($B$3*SIN(RADIANS($B$4))*A194)-(0.5*$B$5*A194^2))</f>
        <v/>
      </c>
    </row>
    <row r="195">
      <c r="A195" s="12">
        <f>A194+$B$6</f>
        <v/>
      </c>
      <c r="B195" s="12">
        <f>B194+D194*$B$6</f>
        <v/>
      </c>
      <c r="C195" s="12">
        <f>MAX(0,C194+E194*$B$6)</f>
        <v/>
      </c>
      <c r="D195" s="12">
        <f>D194+G194*$B$6</f>
        <v/>
      </c>
      <c r="E195" s="12">
        <f>E194+H194*$B$6</f>
        <v/>
      </c>
      <c r="F195" s="12">
        <f>SQRT(D195^2+E195^2)</f>
        <v/>
      </c>
      <c r="G195" s="12">
        <f>IF(C195&gt;0,-($B$12/$B$10)*D195*F195,0)</f>
        <v/>
      </c>
      <c r="H195" s="12">
        <f>IF(C195&gt;0,-$B$5-($B$12/$B$10)*E195*F195,0)</f>
        <v/>
      </c>
      <c r="I195" s="12">
        <f>$B$3*COS(RADIANS($B$4))*A195</f>
        <v/>
      </c>
      <c r="J195" s="12">
        <f>MAX(0,($B$3*SIN(RADIANS($B$4))*A195)-(0.5*$B$5*A195^2))</f>
        <v/>
      </c>
    </row>
    <row r="196">
      <c r="A196" s="11">
        <f>A195+$B$6</f>
        <v/>
      </c>
      <c r="B196" s="11">
        <f>B195+D195*$B$6</f>
        <v/>
      </c>
      <c r="C196" s="11">
        <f>MAX(0,C195+E195*$B$6)</f>
        <v/>
      </c>
      <c r="D196" s="11">
        <f>D195+G195*$B$6</f>
        <v/>
      </c>
      <c r="E196" s="11">
        <f>E195+H195*$B$6</f>
        <v/>
      </c>
      <c r="F196" s="11">
        <f>SQRT(D196^2+E196^2)</f>
        <v/>
      </c>
      <c r="G196" s="11">
        <f>IF(C196&gt;0,-($B$12/$B$10)*D196*F196,0)</f>
        <v/>
      </c>
      <c r="H196" s="11">
        <f>IF(C196&gt;0,-$B$5-($B$12/$B$10)*E196*F196,0)</f>
        <v/>
      </c>
      <c r="I196" s="11">
        <f>$B$3*COS(RADIANS($B$4))*A196</f>
        <v/>
      </c>
      <c r="J196" s="11">
        <f>MAX(0,($B$3*SIN(RADIANS($B$4))*A196)-(0.5*$B$5*A196^2))</f>
        <v/>
      </c>
    </row>
    <row r="197">
      <c r="A197" s="12">
        <f>A196+$B$6</f>
        <v/>
      </c>
      <c r="B197" s="12">
        <f>B196+D196*$B$6</f>
        <v/>
      </c>
      <c r="C197" s="12">
        <f>MAX(0,C196+E196*$B$6)</f>
        <v/>
      </c>
      <c r="D197" s="12">
        <f>D196+G196*$B$6</f>
        <v/>
      </c>
      <c r="E197" s="12">
        <f>E196+H196*$B$6</f>
        <v/>
      </c>
      <c r="F197" s="12">
        <f>SQRT(D197^2+E197^2)</f>
        <v/>
      </c>
      <c r="G197" s="12">
        <f>IF(C197&gt;0,-($B$12/$B$10)*D197*F197,0)</f>
        <v/>
      </c>
      <c r="H197" s="12">
        <f>IF(C197&gt;0,-$B$5-($B$12/$B$10)*E197*F197,0)</f>
        <v/>
      </c>
      <c r="I197" s="12">
        <f>$B$3*COS(RADIANS($B$4))*A197</f>
        <v/>
      </c>
      <c r="J197" s="12">
        <f>MAX(0,($B$3*SIN(RADIANS($B$4))*A197)-(0.5*$B$5*A197^2))</f>
        <v/>
      </c>
    </row>
    <row r="198" ht="26" customHeight="1">
      <c r="A198" s="13" t="inlineStr">
        <is>
          <t>Note: drag trajectory reaches the ground and holds y_drag = 0 (ax = ay = 0, vx/vy frozen) for any remaining rows so the ideal curve has room to complete its arc.</t>
        </is>
      </c>
    </row>
  </sheetData>
  <mergeCells count="4">
    <mergeCell ref="A198:J198"/>
    <mergeCell ref="A1:J1"/>
    <mergeCell ref="A2:B2"/>
    <mergeCell ref="A14:J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2026-08-17T13:10:46Z</dcterms:created>
  <dcterms:modified xmlns:dcterms="http://purl.org/dc/terms/" xmlns:xsi="http://www.w3.org/2001/XMLSchema-instance" xsi:type="dcterms:W3CDTF">2026-08-17T13:10:46Z</dcterms:modified>
</cp:coreProperties>
</file>